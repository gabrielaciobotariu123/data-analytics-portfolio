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Pivot Table" sheetId="2" r:id="rId6"/>
    <sheet state="visible" name="Orders" sheetId="3" r:id="rId7"/>
    <sheet state="visible" name="Lookup" sheetId="4" r:id="rId8"/>
    <sheet state="visible" name="Orders_Raw" sheetId="5" r:id="rId9"/>
    <sheet state="visible" name="Customers" sheetId="6" r:id="rId10"/>
    <sheet state="visible" name="Products" sheetId="7" r:id="rId11"/>
    <sheet state="visible" name="Salespersons" sheetId="8" r:id="rId12"/>
  </sheets>
  <definedNames/>
  <calcPr/>
</workbook>
</file>

<file path=xl/sharedStrings.xml><?xml version="1.0" encoding="utf-8"?>
<sst xmlns="http://schemas.openxmlformats.org/spreadsheetml/2006/main" count="1693" uniqueCount="287">
  <si>
    <t>Monthly Sales Performance</t>
  </si>
  <si>
    <t>PaymentMethod</t>
  </si>
  <si>
    <t>PaymentMethod_Clean</t>
  </si>
  <si>
    <t>OrderID</t>
  </si>
  <si>
    <t>Original</t>
  </si>
  <si>
    <t>Order Month</t>
  </si>
  <si>
    <t>OrderID_Duplicates</t>
  </si>
  <si>
    <t>Standard</t>
  </si>
  <si>
    <t>OrderDate</t>
  </si>
  <si>
    <t>OrderDate_Clean</t>
  </si>
  <si>
    <t>CustomerID</t>
  </si>
  <si>
    <t>Revenue</t>
  </si>
  <si>
    <t>CustomerID_Clean</t>
  </si>
  <si>
    <t>card</t>
  </si>
  <si>
    <t>Profit</t>
  </si>
  <si>
    <t>Orders</t>
  </si>
  <si>
    <t>Card</t>
  </si>
  <si>
    <t>TotalCost</t>
  </si>
  <si>
    <t>Quantity Sold</t>
  </si>
  <si>
    <t>CJ</t>
  </si>
  <si>
    <t>Profit Margin</t>
  </si>
  <si>
    <t>CustomerName</t>
  </si>
  <si>
    <t>Cluj-Napoca</t>
  </si>
  <si>
    <t>CustomerName_Clean</t>
  </si>
  <si>
    <t>Electronics</t>
  </si>
  <si>
    <t>City</t>
  </si>
  <si>
    <t>Laptop Lenovo</t>
  </si>
  <si>
    <t>City_Clean</t>
  </si>
  <si>
    <t>Product</t>
  </si>
  <si>
    <t>Category</t>
  </si>
  <si>
    <t>Category_Clean</t>
  </si>
  <si>
    <t>Iasi</t>
  </si>
  <si>
    <t>Quantity</t>
  </si>
  <si>
    <t>electronics</t>
  </si>
  <si>
    <t>Mouse Logitech</t>
  </si>
  <si>
    <t>Quantity_Check</t>
  </si>
  <si>
    <t>UnitPrice</t>
  </si>
  <si>
    <t>Transfer</t>
  </si>
  <si>
    <t>Bank Transfer</t>
  </si>
  <si>
    <t>București</t>
  </si>
  <si>
    <t>UnitPrice_Clean</t>
  </si>
  <si>
    <t>Bucuresti</t>
  </si>
  <si>
    <t>Electro</t>
  </si>
  <si>
    <t>UnitPrice_Check</t>
  </si>
  <si>
    <t>Monitor Dell</t>
  </si>
  <si>
    <t>Discount</t>
  </si>
  <si>
    <t>Jan</t>
  </si>
  <si>
    <t>Discount_Check</t>
  </si>
  <si>
    <t>Buc.</t>
  </si>
  <si>
    <t>Furniture</t>
  </si>
  <si>
    <t>SalesPerson</t>
  </si>
  <si>
    <t>Office Chair</t>
  </si>
  <si>
    <t>SaledPerson_Clean</t>
  </si>
  <si>
    <t>Cash</t>
  </si>
  <si>
    <t>Cluj</t>
  </si>
  <si>
    <t>furniture</t>
  </si>
  <si>
    <t>Transaction Status</t>
  </si>
  <si>
    <t>Unknown</t>
  </si>
  <si>
    <t>BUCURESTI</t>
  </si>
  <si>
    <t>CostPrice</t>
  </si>
  <si>
    <t>Iași</t>
  </si>
  <si>
    <t>ProfitValidSales</t>
  </si>
  <si>
    <t>Feb</t>
  </si>
  <si>
    <t>Mar</t>
  </si>
  <si>
    <t>Grand Total</t>
  </si>
  <si>
    <t>10/02/2025</t>
  </si>
  <si>
    <t>C004</t>
  </si>
  <si>
    <t>Sales Performance by City</t>
  </si>
  <si>
    <t>Ana Popescu</t>
  </si>
  <si>
    <t>Average Order Value</t>
  </si>
  <si>
    <t>Max Revenue</t>
  </si>
  <si>
    <t>Min Revenue</t>
  </si>
  <si>
    <t>Max Profit</t>
  </si>
  <si>
    <t>Min Profit</t>
  </si>
  <si>
    <t>Payment Method Analysis</t>
  </si>
  <si>
    <t>PaymentMethod_Check</t>
  </si>
  <si>
    <t>Salesperson Performance</t>
  </si>
  <si>
    <t>Salesperson</t>
  </si>
  <si>
    <t>Andrei</t>
  </si>
  <si>
    <t>George</t>
  </si>
  <si>
    <t>Maria</t>
  </si>
  <si>
    <t>Product Performance</t>
  </si>
  <si>
    <t>Orders Percentage</t>
  </si>
  <si>
    <t>Category Performance</t>
  </si>
  <si>
    <t>2025-01-18</t>
  </si>
  <si>
    <t>C010</t>
  </si>
  <si>
    <t xml:space="preserve"> ELENA DUMITRU </t>
  </si>
  <si>
    <t>2025-01-08</t>
  </si>
  <si>
    <t>C012</t>
  </si>
  <si>
    <t>ELENA DUMITRU</t>
  </si>
  <si>
    <t>Sales Performance by Customer</t>
  </si>
  <si>
    <t>25-Jan-25</t>
  </si>
  <si>
    <t>C002</t>
  </si>
  <si>
    <t>mihai ionescu</t>
  </si>
  <si>
    <t>Mihai Ionescu</t>
  </si>
  <si>
    <t>Maria Ilie</t>
  </si>
  <si>
    <t>2025-02-18</t>
  </si>
  <si>
    <t>Elena Dumitru</t>
  </si>
  <si>
    <t>C011</t>
  </si>
  <si>
    <t xml:space="preserve"> MARIA ilie </t>
  </si>
  <si>
    <t>Alex Marin</t>
  </si>
  <si>
    <t>15-Jan-25</t>
  </si>
  <si>
    <t>MARIA ilie</t>
  </si>
  <si>
    <t>Ioana Stan</t>
  </si>
  <si>
    <t>02-Jan-25</t>
  </si>
  <si>
    <t>C025</t>
  </si>
  <si>
    <t>2025-02-26</t>
  </si>
  <si>
    <t>C014</t>
  </si>
  <si>
    <t>15-Feb-25</t>
  </si>
  <si>
    <t>C023</t>
  </si>
  <si>
    <t>18-Feb-25</t>
  </si>
  <si>
    <t>C005</t>
  </si>
  <si>
    <t xml:space="preserve"> mihai ionescu </t>
  </si>
  <si>
    <t>16-Feb-25</t>
  </si>
  <si>
    <t>C009</t>
  </si>
  <si>
    <t>13-Jan-25</t>
  </si>
  <si>
    <t>C022</t>
  </si>
  <si>
    <t>C021</t>
  </si>
  <si>
    <t>15/01/2025</t>
  </si>
  <si>
    <t>C016</t>
  </si>
  <si>
    <t>13/01/2025</t>
  </si>
  <si>
    <t>C024</t>
  </si>
  <si>
    <t>01-Mar-25</t>
  </si>
  <si>
    <t xml:space="preserve"> Ana Popescu </t>
  </si>
  <si>
    <t>07-Jan-25</t>
  </si>
  <si>
    <t>2025-01-13</t>
  </si>
  <si>
    <t>C015</t>
  </si>
  <si>
    <t>11-Jan-25</t>
  </si>
  <si>
    <t>C013</t>
  </si>
  <si>
    <t>14/01/2025</t>
  </si>
  <si>
    <t>C008</t>
  </si>
  <si>
    <t>2025-01-26</t>
  </si>
  <si>
    <t>12-Jan-25</t>
  </si>
  <si>
    <t>09/01/2025</t>
  </si>
  <si>
    <t>C003</t>
  </si>
  <si>
    <t>21/02/2025</t>
  </si>
  <si>
    <t>02-Mar-25</t>
  </si>
  <si>
    <t>C007</t>
  </si>
  <si>
    <t>2025-01-14</t>
  </si>
  <si>
    <t>01/02/2025</t>
  </si>
  <si>
    <t>C020</t>
  </si>
  <si>
    <t>alex marin</t>
  </si>
  <si>
    <t>2025-02-12</t>
  </si>
  <si>
    <t>17/02/2025</t>
  </si>
  <si>
    <t>31/01/2025</t>
  </si>
  <si>
    <t>C017</t>
  </si>
  <si>
    <t>28/01/2025</t>
  </si>
  <si>
    <t>20-Feb-25</t>
  </si>
  <si>
    <t>2025-01-15</t>
  </si>
  <si>
    <t xml:space="preserve"> alex marin </t>
  </si>
  <si>
    <t>18/01/2025</t>
  </si>
  <si>
    <t>08-Feb-25</t>
  </si>
  <si>
    <t>29/01/2025</t>
  </si>
  <si>
    <t>2025-01-05</t>
  </si>
  <si>
    <t>C001</t>
  </si>
  <si>
    <t>01/03/2025</t>
  </si>
  <si>
    <t>2025-01-24</t>
  </si>
  <si>
    <t>05-Feb-25</t>
  </si>
  <si>
    <t>09-Jan-25</t>
  </si>
  <si>
    <t>27/01/2025</t>
  </si>
  <si>
    <t xml:space="preserve"> Ioana Stan </t>
  </si>
  <si>
    <t>2025-01-11</t>
  </si>
  <si>
    <t>2025-02-27</t>
  </si>
  <si>
    <t>2025-01-07</t>
  </si>
  <si>
    <t>01/01/2025</t>
  </si>
  <si>
    <t>2025-01-04</t>
  </si>
  <si>
    <t>2025-02-21</t>
  </si>
  <si>
    <t>C019</t>
  </si>
  <si>
    <t>16-Jan-25</t>
  </si>
  <si>
    <t>2025-03-01</t>
  </si>
  <si>
    <t>C018</t>
  </si>
  <si>
    <t>2025-02-06</t>
  </si>
  <si>
    <t>22-Jan-25</t>
  </si>
  <si>
    <t>C006</t>
  </si>
  <si>
    <t>2025-01-27</t>
  </si>
  <si>
    <t>28-Jan-25</t>
  </si>
  <si>
    <t>13/02/2025</t>
  </si>
  <si>
    <t>30/01/2025</t>
  </si>
  <si>
    <t>2025-01-19</t>
  </si>
  <si>
    <t>23/02/2025</t>
  </si>
  <si>
    <t>2025-01-25</t>
  </si>
  <si>
    <t>12-Feb-25</t>
  </si>
  <si>
    <t>16/02/2025</t>
  </si>
  <si>
    <t>2025-02-03</t>
  </si>
  <si>
    <t>28-Feb-25</t>
  </si>
  <si>
    <t>19/01/2025</t>
  </si>
  <si>
    <t>25/02/2025</t>
  </si>
  <si>
    <t>2025-01-29</t>
  </si>
  <si>
    <t>31-Jan-25</t>
  </si>
  <si>
    <t>Există celule goale?</t>
  </si>
  <si>
    <t>da</t>
  </si>
  <si>
    <t>Există valori care par greșite?</t>
  </si>
  <si>
    <t>Observi nume scrise diferit?</t>
  </si>
  <si>
    <t>Orașele sunt scrise la fel peste tot?</t>
  </si>
  <si>
    <t>nu</t>
  </si>
  <si>
    <t>Toate datele au același format?</t>
  </si>
  <si>
    <t>Există valori negative unde nu ar trebui?</t>
  </si>
  <si>
    <r>
      <rPr>
        <rFont val="Calibri"/>
        <color theme="1"/>
      </rPr>
      <t xml:space="preserve">✅ </t>
    </r>
    <r>
      <rPr>
        <rFont val="Arial Unicode MS"/>
        <color theme="1"/>
        <sz val="10.0"/>
      </rPr>
      <t>CustomerName_Clean</t>
    </r>
    <r>
      <rPr>
        <rFont val="Calibri"/>
        <color theme="1"/>
        <sz val="11.0"/>
      </rPr>
      <t xml:space="preserve"> → nume standardizate</t>
    </r>
  </si>
  <si>
    <r>
      <rPr>
        <rFont val="Calibri"/>
        <color theme="1"/>
      </rPr>
      <t xml:space="preserve">✅ </t>
    </r>
    <r>
      <rPr>
        <rFont val="Arial Unicode MS"/>
        <color theme="1"/>
        <sz val="10.0"/>
      </rPr>
      <t>City_Clean</t>
    </r>
    <r>
      <rPr>
        <rFont val="Calibri"/>
        <color theme="1"/>
        <sz val="11.0"/>
      </rPr>
      <t xml:space="preserve"> → orașe uniformizate</t>
    </r>
  </si>
  <si>
    <r>
      <rPr>
        <rFont val="Calibri"/>
        <color theme="1"/>
      </rPr>
      <t xml:space="preserve">✅ </t>
    </r>
    <r>
      <rPr>
        <rFont val="Arial Unicode MS"/>
        <color theme="1"/>
        <sz val="10.0"/>
      </rPr>
      <t>Category_Clean</t>
    </r>
    <r>
      <rPr>
        <rFont val="Calibri"/>
        <color theme="1"/>
        <sz val="11.0"/>
      </rPr>
      <t xml:space="preserve"> → categorii standardizate</t>
    </r>
  </si>
  <si>
    <t>✅ PaymentMethod_Clean</t>
  </si>
  <si>
    <t>Standardized inconsistent date formats and converted text dates into valid Excel date values.</t>
  </si>
  <si>
    <r>
      <rPr>
        <rFont val="Calibri"/>
        <color theme="1"/>
      </rPr>
      <t xml:space="preserve">✅ </t>
    </r>
    <r>
      <rPr>
        <rFont val="Arial Unicode MS"/>
        <color theme="1"/>
        <sz val="10.0"/>
      </rPr>
      <t>CustomerName_Clean</t>
    </r>
    <r>
      <rPr>
        <rFont val="Calibri"/>
        <color theme="1"/>
        <sz val="11.0"/>
      </rPr>
      <t xml:space="preserve"> — standardizare nume</t>
    </r>
  </si>
  <si>
    <r>
      <rPr>
        <rFont val="Calibri"/>
        <color theme="1"/>
      </rPr>
      <t xml:space="preserve">✅ </t>
    </r>
    <r>
      <rPr>
        <rFont val="Arial Unicode MS"/>
        <color theme="1"/>
        <sz val="10.0"/>
      </rPr>
      <t>City_Clean</t>
    </r>
    <r>
      <rPr>
        <rFont val="Calibri"/>
        <color theme="1"/>
        <sz val="11.0"/>
      </rPr>
      <t xml:space="preserve"> — standardizare locații</t>
    </r>
  </si>
  <si>
    <r>
      <rPr>
        <rFont val="Calibri"/>
        <color theme="1"/>
      </rPr>
      <t xml:space="preserve">✅ </t>
    </r>
    <r>
      <rPr>
        <rFont val="Arial Unicode MS"/>
        <color theme="1"/>
        <sz val="10.0"/>
      </rPr>
      <t>Category_Clean</t>
    </r>
    <r>
      <rPr>
        <rFont val="Calibri"/>
        <color theme="1"/>
        <sz val="11.0"/>
      </rPr>
      <t xml:space="preserve"> — standardizare categorii</t>
    </r>
  </si>
  <si>
    <r>
      <rPr>
        <rFont val="Calibri"/>
        <color theme="1"/>
      </rPr>
      <t xml:space="preserve">✅ </t>
    </r>
    <r>
      <rPr>
        <rFont val="Arial Unicode MS"/>
        <color theme="1"/>
        <sz val="10.0"/>
      </rPr>
      <t>PaymentMethod_Clean</t>
    </r>
    <r>
      <rPr>
        <rFont val="Calibri"/>
        <color theme="1"/>
        <sz val="11.0"/>
      </rPr>
      <t xml:space="preserve"> — standardizare metode plată</t>
    </r>
  </si>
  <si>
    <r>
      <rPr>
        <rFont val="Calibri"/>
        <color theme="1"/>
      </rPr>
      <t xml:space="preserve">✅ </t>
    </r>
    <r>
      <rPr>
        <rFont val="Arial Unicode MS"/>
        <color theme="1"/>
        <sz val="10.0"/>
      </rPr>
      <t>OrderDate</t>
    </r>
    <r>
      <rPr>
        <rFont val="Calibri"/>
        <color theme="1"/>
        <sz val="11.0"/>
      </rPr>
      <t xml:space="preserve"> — convertit din text în date reale</t>
    </r>
  </si>
  <si>
    <r>
      <rPr>
        <rFont val="Calibri"/>
        <color theme="1"/>
      </rPr>
      <t xml:space="preserve">✅ </t>
    </r>
    <r>
      <rPr>
        <rFont val="Arial Unicode MS"/>
        <color theme="1"/>
        <sz val="10.0"/>
      </rPr>
      <t>Quantity_Check</t>
    </r>
    <r>
      <rPr>
        <rFont val="Calibri"/>
        <color theme="1"/>
        <sz val="11.0"/>
      </rPr>
      <t xml:space="preserve"> — identificare probleme cantitate</t>
    </r>
  </si>
  <si>
    <t>Până aici ai:</t>
  </si>
  <si>
    <t>Curățare text:</t>
  </si>
  <si>
    <r>
      <rPr>
        <rFont val="Calibri"/>
        <color theme="1"/>
      </rPr>
      <t xml:space="preserve">✅ </t>
    </r>
    <r>
      <rPr>
        <rFont val="Arial Unicode MS"/>
        <color theme="1"/>
        <sz val="10.0"/>
      </rPr>
      <t>CustomerName_Clean</t>
    </r>
  </si>
  <si>
    <r>
      <rPr>
        <rFont val="Calibri"/>
        <color theme="1"/>
      </rPr>
      <t xml:space="preserve">✅ </t>
    </r>
    <r>
      <rPr>
        <rFont val="Arial Unicode MS"/>
        <color theme="1"/>
        <sz val="10.0"/>
      </rPr>
      <t>City_Clean</t>
    </r>
  </si>
  <si>
    <r>
      <rPr>
        <rFont val="Calibri"/>
        <color theme="1"/>
      </rPr>
      <t xml:space="preserve">✅ </t>
    </r>
    <r>
      <rPr>
        <rFont val="Arial Unicode MS"/>
        <color theme="1"/>
        <sz val="10.0"/>
      </rPr>
      <t>Category_Clean</t>
    </r>
  </si>
  <si>
    <r>
      <rPr>
        <rFont val="Calibri"/>
        <color theme="1"/>
      </rPr>
      <t xml:space="preserve">✅ </t>
    </r>
    <r>
      <rPr>
        <rFont val="Arial Unicode MS"/>
        <color theme="1"/>
        <sz val="10.0"/>
      </rPr>
      <t>PaymentMethod_Clean</t>
    </r>
  </si>
  <si>
    <t>Curățare date:</t>
  </si>
  <si>
    <r>
      <rPr>
        <rFont val="Calibri"/>
        <color theme="1"/>
      </rPr>
      <t xml:space="preserve">✅ </t>
    </r>
    <r>
      <rPr>
        <rFont val="Arial Unicode MS"/>
        <color theme="1"/>
        <sz val="10.0"/>
      </rPr>
      <t>OrderDate</t>
    </r>
    <r>
      <rPr>
        <rFont val="Calibri"/>
        <color theme="1"/>
        <sz val="11.0"/>
      </rPr>
      <t xml:space="preserve"> convertit din text în date reale</t>
    </r>
  </si>
  <si>
    <t>Data quality:</t>
  </si>
  <si>
    <r>
      <rPr>
        <rFont val="Calibri"/>
        <color theme="1"/>
      </rPr>
      <t xml:space="preserve">✅ </t>
    </r>
    <r>
      <rPr>
        <rFont val="Arial Unicode MS"/>
        <color theme="1"/>
        <sz val="10.0"/>
      </rPr>
      <t>Quantity_Check</t>
    </r>
  </si>
  <si>
    <t>OK</t>
  </si>
  <si>
    <t>Negative Quantity</t>
  </si>
  <si>
    <t>Zero Quantity</t>
  </si>
  <si>
    <r>
      <rPr>
        <rFont val="Calibri"/>
        <color theme="1"/>
      </rPr>
      <t xml:space="preserve">✅ </t>
    </r>
    <r>
      <rPr>
        <rFont val="Arial Unicode MS"/>
        <color theme="1"/>
        <sz val="10.0"/>
      </rPr>
      <t>UnitPrice_Check</t>
    </r>
  </si>
  <si>
    <t>Negative Price</t>
  </si>
  <si>
    <t>Coloane corectate:</t>
  </si>
  <si>
    <r>
      <rPr>
        <rFont val="Calibri"/>
        <color theme="1"/>
      </rPr>
      <t xml:space="preserve">✅ </t>
    </r>
    <r>
      <rPr>
        <rFont val="Arial Unicode MS"/>
        <color theme="1"/>
        <sz val="10.0"/>
      </rPr>
      <t>UnitPrice_Clean</t>
    </r>
  </si>
  <si>
    <t>Am realizat evaluarea calității unui set de date format din 80 de comenzi. Am identificat valori lipsă, identificatori duplicați, formate neuniforme, cantități și prețuri negative și categorii scrise inconsistent. Am standardizat numele clienților, orașele, datele, categoriile și metodele de plată folosind formule precum TRIM, PROPER, XLOOKUP, VLOOKUP, IF și ABS. Am creat tabele de corespondență și un raport Data Quality pentru documentarea problemelor și a acțiunilor propuse.</t>
  </si>
  <si>
    <t>Needs Review</t>
  </si>
  <si>
    <t>Email</t>
  </si>
  <si>
    <t>user1@mail.com</t>
  </si>
  <si>
    <t>user2@mail.com</t>
  </si>
  <si>
    <t>user3@mail.com</t>
  </si>
  <si>
    <t>user4@mail.com</t>
  </si>
  <si>
    <t>user5@mail.com</t>
  </si>
  <si>
    <t>user6@mail.com</t>
  </si>
  <si>
    <t>user7mail.com</t>
  </si>
  <si>
    <t>user8@mail.com</t>
  </si>
  <si>
    <t>user9@mail.com</t>
  </si>
  <si>
    <t>user10@mail.com</t>
  </si>
  <si>
    <t>user11@mail.com</t>
  </si>
  <si>
    <t>user12@mail.com</t>
  </si>
  <si>
    <t>user13@mail.com</t>
  </si>
  <si>
    <t>user14mail.com</t>
  </si>
  <si>
    <t>user15@mail.com</t>
  </si>
  <si>
    <t>user16@mail.com</t>
  </si>
  <si>
    <t>user17@mail.com</t>
  </si>
  <si>
    <t>user18@mail.com</t>
  </si>
  <si>
    <t>user19@mail.com</t>
  </si>
  <si>
    <t>user20@mail.com</t>
  </si>
  <si>
    <t>user21mail.com</t>
  </si>
  <si>
    <t>user22@mail.com</t>
  </si>
  <si>
    <t>user23@mail.com</t>
  </si>
  <si>
    <t>user24@mail.com</t>
  </si>
  <si>
    <t>user25@mail.com</t>
  </si>
  <si>
    <t>ProductID</t>
  </si>
  <si>
    <t>ProductName</t>
  </si>
  <si>
    <t>P001</t>
  </si>
  <si>
    <t>P002</t>
  </si>
  <si>
    <t>P003</t>
  </si>
  <si>
    <t>P004</t>
  </si>
  <si>
    <t>SalesPersonID</t>
  </si>
  <si>
    <t>S01</t>
  </si>
  <si>
    <t>S02</t>
  </si>
  <si>
    <t>S03</t>
  </si>
  <si>
    <t>S04</t>
  </si>
  <si>
    <t>Elena</t>
  </si>
  <si>
    <t>Possible Return</t>
  </si>
  <si>
    <r>
      <rPr>
        <rFont val="Calibri"/>
        <color theme="1"/>
      </rPr>
      <t xml:space="preserve">✅ </t>
    </r>
    <r>
      <rPr>
        <rFont val="Arial Unicode MS"/>
        <color theme="1"/>
        <sz val="10.0"/>
      </rPr>
      <t>CustomerName_Clean</t>
    </r>
    <r>
      <rPr>
        <rFont val="Calibri"/>
        <color theme="1"/>
        <sz val="11.0"/>
      </rPr>
      <t xml:space="preserve"> → nume standardizate</t>
    </r>
  </si>
  <si>
    <r>
      <rPr>
        <rFont val="Calibri"/>
        <color theme="1"/>
      </rPr>
      <t xml:space="preserve">✅ </t>
    </r>
    <r>
      <rPr>
        <rFont val="Arial Unicode MS"/>
        <color theme="1"/>
        <sz val="10.0"/>
      </rPr>
      <t>City_Clean</t>
    </r>
    <r>
      <rPr>
        <rFont val="Calibri"/>
        <color theme="1"/>
        <sz val="11.0"/>
      </rPr>
      <t xml:space="preserve"> → orașe uniformizate</t>
    </r>
  </si>
  <si>
    <r>
      <rPr>
        <rFont val="Calibri"/>
        <color theme="1"/>
      </rPr>
      <t xml:space="preserve">✅ </t>
    </r>
    <r>
      <rPr>
        <rFont val="Arial Unicode MS"/>
        <color theme="1"/>
        <sz val="10.0"/>
      </rPr>
      <t>Category_Clean</t>
    </r>
    <r>
      <rPr>
        <rFont val="Calibri"/>
        <color theme="1"/>
        <sz val="11.0"/>
      </rPr>
      <t xml:space="preserve"> → categorii standardizate</t>
    </r>
  </si>
  <si>
    <r>
      <rPr>
        <rFont val="Calibri"/>
        <color theme="1"/>
      </rPr>
      <t xml:space="preserve">✅ </t>
    </r>
    <r>
      <rPr>
        <rFont val="Arial Unicode MS"/>
        <color theme="1"/>
        <sz val="10.0"/>
      </rPr>
      <t>CustomerName_Clean</t>
    </r>
    <r>
      <rPr>
        <rFont val="Calibri"/>
        <color theme="1"/>
        <sz val="11.0"/>
      </rPr>
      <t xml:space="preserve"> — standardizare nume</t>
    </r>
  </si>
  <si>
    <r>
      <rPr>
        <rFont val="Calibri"/>
        <color theme="1"/>
      </rPr>
      <t xml:space="preserve">✅ </t>
    </r>
    <r>
      <rPr>
        <rFont val="Arial Unicode MS"/>
        <color theme="1"/>
        <sz val="10.0"/>
      </rPr>
      <t>City_Clean</t>
    </r>
    <r>
      <rPr>
        <rFont val="Calibri"/>
        <color theme="1"/>
        <sz val="11.0"/>
      </rPr>
      <t xml:space="preserve"> — standardizare locații</t>
    </r>
  </si>
  <si>
    <r>
      <rPr>
        <rFont val="Calibri"/>
        <color theme="1"/>
      </rPr>
      <t xml:space="preserve">✅ </t>
    </r>
    <r>
      <rPr>
        <rFont val="Arial Unicode MS"/>
        <color theme="1"/>
        <sz val="10.0"/>
      </rPr>
      <t>Category_Clean</t>
    </r>
    <r>
      <rPr>
        <rFont val="Calibri"/>
        <color theme="1"/>
        <sz val="11.0"/>
      </rPr>
      <t xml:space="preserve"> — standardizare categorii</t>
    </r>
  </si>
  <si>
    <r>
      <rPr>
        <rFont val="Calibri"/>
        <color theme="1"/>
      </rPr>
      <t xml:space="preserve">✅ </t>
    </r>
    <r>
      <rPr>
        <rFont val="Arial Unicode MS"/>
        <color theme="1"/>
        <sz val="10.0"/>
      </rPr>
      <t>PaymentMethod_Clean</t>
    </r>
    <r>
      <rPr>
        <rFont val="Calibri"/>
        <color theme="1"/>
        <sz val="11.0"/>
      </rPr>
      <t xml:space="preserve"> — standardizare metode plată</t>
    </r>
  </si>
  <si>
    <r>
      <rPr>
        <rFont val="Calibri"/>
        <color theme="1"/>
      </rPr>
      <t xml:space="preserve">✅ </t>
    </r>
    <r>
      <rPr>
        <rFont val="Arial Unicode MS"/>
        <color theme="1"/>
        <sz val="10.0"/>
      </rPr>
      <t>OrderDate</t>
    </r>
    <r>
      <rPr>
        <rFont val="Calibri"/>
        <color theme="1"/>
        <sz val="11.0"/>
      </rPr>
      <t xml:space="preserve"> — convertit din text în date reale</t>
    </r>
  </si>
  <si>
    <r>
      <rPr>
        <rFont val="Calibri"/>
        <color theme="1"/>
      </rPr>
      <t xml:space="preserve">✅ </t>
    </r>
    <r>
      <rPr>
        <rFont val="Arial Unicode MS"/>
        <color theme="1"/>
        <sz val="10.0"/>
      </rPr>
      <t>Quantity_Check</t>
    </r>
    <r>
      <rPr>
        <rFont val="Calibri"/>
        <color theme="1"/>
        <sz val="11.0"/>
      </rPr>
      <t xml:space="preserve"> — identificare probleme cantitate</t>
    </r>
  </si>
  <si>
    <r>
      <rPr>
        <rFont val="Calibri"/>
        <color theme="1"/>
      </rPr>
      <t xml:space="preserve">✅ </t>
    </r>
    <r>
      <rPr>
        <rFont val="Arial Unicode MS"/>
        <color theme="1"/>
        <sz val="10.0"/>
      </rPr>
      <t>CustomerName_Clean</t>
    </r>
  </si>
  <si>
    <r>
      <rPr>
        <rFont val="Calibri"/>
        <color theme="1"/>
      </rPr>
      <t xml:space="preserve">✅ </t>
    </r>
    <r>
      <rPr>
        <rFont val="Arial Unicode MS"/>
        <color theme="1"/>
        <sz val="10.0"/>
      </rPr>
      <t>City_Clean</t>
    </r>
  </si>
  <si>
    <r>
      <rPr>
        <rFont val="Calibri"/>
        <color theme="1"/>
      </rPr>
      <t xml:space="preserve">✅ </t>
    </r>
    <r>
      <rPr>
        <rFont val="Arial Unicode MS"/>
        <color theme="1"/>
        <sz val="10.0"/>
      </rPr>
      <t>Category_Clean</t>
    </r>
  </si>
  <si>
    <r>
      <rPr>
        <rFont val="Calibri"/>
        <color theme="1"/>
      </rPr>
      <t xml:space="preserve">✅ </t>
    </r>
    <r>
      <rPr>
        <rFont val="Arial Unicode MS"/>
        <color theme="1"/>
        <sz val="10.0"/>
      </rPr>
      <t>PaymentMethod_Clean</t>
    </r>
  </si>
  <si>
    <r>
      <rPr>
        <rFont val="Calibri"/>
        <color theme="1"/>
      </rPr>
      <t xml:space="preserve">✅ </t>
    </r>
    <r>
      <rPr>
        <rFont val="Arial Unicode MS"/>
        <color theme="1"/>
        <sz val="10.0"/>
      </rPr>
      <t>OrderDate</t>
    </r>
    <r>
      <rPr>
        <rFont val="Calibri"/>
        <color theme="1"/>
        <sz val="11.0"/>
      </rPr>
      <t xml:space="preserve"> convertit din text în date reale</t>
    </r>
  </si>
  <si>
    <r>
      <rPr>
        <rFont val="Calibri"/>
        <color theme="1"/>
      </rPr>
      <t xml:space="preserve">✅ </t>
    </r>
    <r>
      <rPr>
        <rFont val="Arial Unicode MS"/>
        <color theme="1"/>
        <sz val="10.0"/>
      </rPr>
      <t>Quantity_Check</t>
    </r>
  </si>
  <si>
    <r>
      <rPr>
        <rFont val="Calibri"/>
        <color theme="1"/>
      </rPr>
      <t xml:space="preserve">✅ </t>
    </r>
    <r>
      <rPr>
        <rFont val="Arial Unicode MS"/>
        <color theme="1"/>
        <sz val="10.0"/>
      </rPr>
      <t>UnitPrice_Check</t>
    </r>
  </si>
  <si>
    <r>
      <rPr>
        <rFont val="Calibri"/>
        <color theme="1"/>
      </rPr>
      <t xml:space="preserve">✅ </t>
    </r>
    <r>
      <rPr>
        <rFont val="Arial Unicode MS"/>
        <color theme="1"/>
        <sz val="10.0"/>
      </rPr>
      <t>UnitPrice_Clean</t>
    </r>
  </si>
  <si>
    <t>Sales Performance Dashboard</t>
  </si>
  <si>
    <t>Total Revenue</t>
  </si>
  <si>
    <t>Total Profit</t>
  </si>
  <si>
    <t>Total Orders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</si>
</sst>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yyyy\-mm\-dd"/>
  </numFmts>
  <fonts count="20">
    <font>
      <sz val="11.0"/>
      <color theme="1"/>
      <name val="Calibri"/>
      <scheme val="minor"/>
    </font>
    <font>
      <b/>
      <sz val="12.0"/>
      <color theme="1"/>
      <name val="Calibri"/>
    </font>
    <font>
      <color rgb="FF000000"/>
      <name val="Calibri"/>
    </font>
    <font>
      <color theme="1"/>
      <name val="Calibri"/>
    </font>
    <font>
      <b/>
      <sz val="11.0"/>
      <color rgb="FFFFFFFF"/>
      <name val="Arial"/>
    </font>
    <font>
      <b/>
      <sz val="11.0"/>
      <color theme="1"/>
      <name val="Arial"/>
    </font>
    <font>
      <b/>
      <sz val="12.0"/>
      <color rgb="FF000000"/>
      <name val="Calibri"/>
    </font>
    <font>
      <sz val="11.0"/>
      <color theme="1"/>
      <name val="Calibri"/>
    </font>
    <font>
      <sz val="11.0"/>
      <color rgb="FF000000"/>
      <name val="Calibri"/>
    </font>
    <font>
      <b/>
      <color theme="1"/>
      <name val="Calibri"/>
    </font>
    <font>
      <b/>
      <color rgb="FF000000"/>
      <name val="Calibri"/>
    </font>
    <font>
      <color theme="1"/>
      <name val="Calibri"/>
      <scheme val="minor"/>
    </font>
    <font>
      <b/>
      <sz val="13.0"/>
      <color theme="1"/>
      <name val="Calibri"/>
    </font>
    <font>
      <b/>
      <sz val="20.0"/>
      <color rgb="FFFFFFFF"/>
      <name val="Arial"/>
    </font>
    <font/>
    <font>
      <sz val="11.0"/>
      <color rgb="FF233044"/>
      <name val="Arial"/>
    </font>
    <font>
      <color rgb="FF233044"/>
      <name val="Arial"/>
    </font>
    <font>
      <b/>
      <sz val="10.0"/>
      <color rgb="FF4B3F72"/>
      <name val="Arial"/>
    </font>
    <font>
      <b/>
      <sz val="18.0"/>
      <color rgb="FF283A5B"/>
      <name val="Arial"/>
    </font>
    <font>
      <b/>
      <color theme="1"/>
      <name val="Calibri"/>
      <scheme val="minor"/>
    </font>
  </fonts>
  <fills count="10">
    <fill>
      <patternFill patternType="none"/>
    </fill>
    <fill>
      <patternFill patternType="lightGray"/>
    </fill>
    <fill>
      <patternFill patternType="solid">
        <fgColor rgb="FFFFFFFF"/>
        <bgColor rgb="FFFFFFFF"/>
      </patternFill>
    </fill>
    <fill>
      <patternFill patternType="solid">
        <fgColor rgb="FFB3A7D5"/>
        <bgColor rgb="FFB3A7D5"/>
      </patternFill>
    </fill>
    <fill>
      <patternFill patternType="solid">
        <fgColor theme="0"/>
        <bgColor theme="0"/>
      </patternFill>
    </fill>
    <fill>
      <patternFill patternType="solid">
        <fgColor rgb="FFE6E2EE"/>
        <bgColor rgb="FFE6E2EE"/>
      </patternFill>
    </fill>
    <fill>
      <patternFill patternType="solid">
        <fgColor rgb="FFB4A7D6"/>
        <bgColor rgb="FFB4A7D6"/>
      </patternFill>
    </fill>
    <fill>
      <patternFill patternType="solid">
        <fgColor rgb="FF4B3488"/>
        <bgColor rgb="FF4B3488"/>
      </patternFill>
    </fill>
    <fill>
      <patternFill patternType="solid">
        <fgColor rgb="FFF7F8FC"/>
        <bgColor rgb="FFF7F8FC"/>
      </patternFill>
    </fill>
    <fill>
      <patternFill patternType="solid">
        <fgColor rgb="FFE8E3F3"/>
        <bgColor rgb="FFE8E3F3"/>
      </patternFill>
    </fill>
  </fills>
  <borders count="1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283A5B"/>
      </left>
      <top style="medium">
        <color rgb="FF283A5B"/>
      </top>
    </border>
    <border>
      <top style="medium">
        <color rgb="FF283A5B"/>
      </top>
    </border>
    <border>
      <right style="medium">
        <color rgb="FF283A5B"/>
      </right>
      <top style="medium">
        <color rgb="FF283A5B"/>
      </top>
    </border>
    <border>
      <left style="medium">
        <color rgb="FF283A5B"/>
      </left>
      <bottom style="medium">
        <color rgb="FF283A5B"/>
      </bottom>
    </border>
    <border>
      <bottom style="medium">
        <color rgb="FF283A5B"/>
      </bottom>
    </border>
    <border>
      <right style="medium">
        <color rgb="FF283A5B"/>
      </right>
      <bottom style="medium">
        <color rgb="FF283A5B"/>
      </bottom>
    </border>
    <border>
      <left style="thin">
        <color rgb="FFB9AFD3"/>
      </left>
      <top style="thin">
        <color rgb="FFB9AFD3"/>
      </top>
    </border>
    <border>
      <top style="thin">
        <color rgb="FFB9AFD3"/>
      </top>
    </border>
    <border>
      <right style="thin">
        <color rgb="FFB9AFD3"/>
      </right>
      <top style="thin">
        <color rgb="FFB9AFD3"/>
      </top>
    </border>
    <border>
      <left style="thin">
        <color rgb="FFB9AFD3"/>
      </left>
      <bottom style="thin">
        <color rgb="FFB9AFD3"/>
      </bottom>
    </border>
    <border>
      <bottom style="thin">
        <color rgb="FFB9AFD3"/>
      </bottom>
    </border>
    <border>
      <right style="thin">
        <color rgb="FFB9AFD3"/>
      </right>
      <bottom style="thin">
        <color rgb="FFB9AFD3"/>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Font="1"/>
    <xf borderId="0" fillId="2" fontId="2" numFmtId="3" xfId="0" applyAlignment="1" applyFill="1" applyFont="1" applyNumberFormat="1">
      <alignment horizontal="center"/>
    </xf>
    <xf borderId="0" fillId="2" fontId="2" numFmtId="0" xfId="0" applyAlignment="1" applyFill="1" applyFont="1">
      <alignment horizontal="center"/>
    </xf>
    <xf borderId="0" fillId="2" fontId="3" numFmtId="0" xfId="0" applyAlignment="1" applyFill="1" applyFont="1">
      <alignment horizontal="center"/>
    </xf>
    <xf borderId="0" fillId="0" fontId="4" numFmtId="0" xfId="0" applyAlignment="1" applyFont="1">
      <alignment horizontal="center" shrinkToFit="0" vertical="center" wrapText="1"/>
    </xf>
    <xf borderId="0" fillId="0" fontId="5" numFmtId="0" xfId="0" applyFont="1"/>
    <xf borderId="1" fillId="2" fontId="6" numFmtId="0" xfId="0" applyAlignment="1" applyBorder="1" applyFill="1" applyFont="1">
      <alignment horizontal="center" vertical="center"/>
    </xf>
    <xf borderId="1" fillId="0" fontId="4" numFmtId="0" xfId="0" applyAlignment="1" applyBorder="1" applyFont="1">
      <alignment horizontal="center" shrinkToFit="0" vertical="center" wrapText="0"/>
    </xf>
    <xf borderId="1" fillId="3" fontId="2" numFmtId="0" xfId="0" applyAlignment="1" applyBorder="1" applyFill="1" applyFont="1">
      <alignment horizontal="center"/>
    </xf>
    <xf borderId="1" fillId="3" fontId="2" numFmtId="3" xfId="0" applyAlignment="1" applyBorder="1" applyFill="1" applyFont="1" applyNumberFormat="1">
      <alignment horizontal="center"/>
    </xf>
    <xf borderId="1" fillId="0" fontId="7" numFmtId="0" xfId="0" applyAlignment="1" applyBorder="1" applyFont="1">
      <alignment shrinkToFit="0" vertical="center" wrapText="1"/>
    </xf>
    <xf borderId="1" fillId="2" fontId="6" numFmtId="0" xfId="0" applyAlignment="1" applyBorder="1" applyFill="1" applyFont="1">
      <alignment horizontal="center" readingOrder="0" vertical="center"/>
    </xf>
    <xf borderId="1" fillId="0" fontId="7" numFmtId="0" xfId="0" applyAlignment="1" applyBorder="1" applyFont="1">
      <alignment horizontal="center" shrinkToFit="0" vertical="center" wrapText="0"/>
    </xf>
    <xf borderId="0" fillId="0" fontId="3" numFmtId="0" xfId="0" applyAlignment="1" applyFont="1">
      <alignment horizontal="center"/>
    </xf>
    <xf borderId="1" fillId="0" fontId="3" numFmtId="164" xfId="0" applyBorder="1" applyFont="1" applyNumberFormat="1"/>
    <xf borderId="2" fillId="0" fontId="7" numFmtId="0" xfId="0" applyAlignment="1" applyBorder="1" applyFont="1">
      <alignment shrinkToFit="0" vertical="center" wrapText="1"/>
    </xf>
    <xf borderId="1" fillId="0" fontId="3" numFmtId="3" xfId="0" applyBorder="1" applyFont="1" applyNumberFormat="1"/>
    <xf borderId="0" fillId="4" fontId="3" numFmtId="0" xfId="0" applyFill="1" applyFont="1"/>
    <xf borderId="1" fillId="2" fontId="6" numFmtId="0" xfId="0" applyAlignment="1" applyBorder="1" applyFill="1" applyFont="1">
      <alignment horizontal="center" readingOrder="0"/>
    </xf>
    <xf borderId="1" fillId="0" fontId="3" numFmtId="0" xfId="0" applyBorder="1" applyFont="1"/>
    <xf borderId="0" fillId="0" fontId="3" numFmtId="0" xfId="0" applyFont="1"/>
    <xf borderId="1" fillId="2" fontId="6" numFmtId="0" xfId="0" applyAlignment="1" applyBorder="1" applyFill="1" applyFont="1">
      <alignment horizontal="center"/>
    </xf>
    <xf borderId="0" fillId="0" fontId="7" numFmtId="0" xfId="0" applyAlignment="1" applyFont="1">
      <alignment horizontal="center" vertical="center"/>
    </xf>
    <xf borderId="0" fillId="2" fontId="1" numFmtId="0" xfId="0" applyAlignment="1" applyFill="1" applyFont="1">
      <alignment horizontal="center"/>
    </xf>
    <xf borderId="0" fillId="0" fontId="7" numFmtId="0" xfId="0" applyFont="1"/>
    <xf borderId="1" fillId="0" fontId="8" numFmtId="0" xfId="0" applyAlignment="1" applyBorder="1" applyFont="1">
      <alignment horizontal="center" vertical="center"/>
    </xf>
    <xf borderId="1" fillId="0" fontId="3" numFmtId="10" xfId="0" applyBorder="1" applyFont="1" applyNumberFormat="1"/>
    <xf borderId="1" fillId="5" fontId="9" numFmtId="0" xfId="0" applyBorder="1" applyFill="1" applyFont="1"/>
    <xf borderId="1" fillId="5" fontId="9" numFmtId="3" xfId="0" applyBorder="1" applyFill="1" applyFont="1" applyNumberFormat="1"/>
    <xf borderId="1" fillId="5" fontId="9" numFmtId="10" xfId="0" applyBorder="1" applyFill="1" applyFont="1" applyNumberFormat="1"/>
    <xf borderId="1" fillId="0" fontId="8" numFmtId="165" xfId="0" applyAlignment="1" applyBorder="1" applyFont="1" applyNumberFormat="1">
      <alignment horizontal="center" vertical="center"/>
    </xf>
    <xf borderId="0" fillId="0" fontId="3" numFmtId="3" xfId="0" applyFont="1" applyNumberFormat="1"/>
    <xf borderId="1" fillId="6" fontId="2" numFmtId="0" xfId="0" applyAlignment="1" applyBorder="1" applyFill="1" applyFont="1">
      <alignment horizontal="center"/>
    </xf>
    <xf borderId="1" fillId="6" fontId="3" numFmtId="3" xfId="0" applyAlignment="1" applyBorder="1" applyFill="1" applyFont="1" applyNumberFormat="1">
      <alignment horizontal="center"/>
    </xf>
    <xf borderId="1" fillId="6" fontId="3" numFmtId="0" xfId="0" applyAlignment="1" applyBorder="1" applyFill="1" applyFont="1">
      <alignment horizontal="center"/>
    </xf>
    <xf borderId="1" fillId="0" fontId="2" numFmtId="0" xfId="0" applyBorder="1" applyFont="1"/>
    <xf borderId="1" fillId="6" fontId="3" numFmtId="0" xfId="0" applyBorder="1" applyFill="1" applyFont="1"/>
    <xf borderId="1" fillId="5" fontId="3" numFmtId="0" xfId="0" applyBorder="1" applyFill="1" applyFont="1"/>
    <xf borderId="1" fillId="5" fontId="10" numFmtId="0" xfId="0" applyBorder="1" applyFill="1" applyFont="1"/>
    <xf borderId="1" fillId="3" fontId="3" numFmtId="0" xfId="0" applyBorder="1" applyFill="1" applyFont="1"/>
    <xf borderId="1" fillId="3" fontId="2" numFmtId="3" xfId="0" applyBorder="1" applyFill="1" applyFont="1" applyNumberFormat="1"/>
    <xf borderId="0" fillId="0" fontId="1" numFmtId="0" xfId="0" applyAlignment="1" applyFont="1">
      <alignment readingOrder="0"/>
    </xf>
    <xf borderId="1" fillId="3" fontId="3" numFmtId="0" xfId="0" applyAlignment="1" applyBorder="1" applyFill="1" applyFont="1">
      <alignment horizontal="center"/>
    </xf>
    <xf borderId="1" fillId="3" fontId="3" numFmtId="10" xfId="0" applyAlignment="1" applyBorder="1" applyFill="1" applyFont="1" applyNumberFormat="1">
      <alignment horizontal="center"/>
    </xf>
    <xf borderId="1" fillId="3" fontId="3" numFmtId="3" xfId="0" applyAlignment="1" applyBorder="1" applyFill="1" applyFont="1" applyNumberFormat="1">
      <alignment horizontal="center"/>
    </xf>
    <xf borderId="1" fillId="3" fontId="2" numFmtId="10" xfId="0" applyAlignment="1" applyBorder="1" applyFill="1" applyFont="1" applyNumberFormat="1">
      <alignment horizontal="center"/>
    </xf>
    <xf borderId="1" fillId="0" fontId="1" numFmtId="0" xfId="0" applyAlignment="1" applyBorder="1" applyFont="1">
      <alignment horizontal="center" vertical="center"/>
    </xf>
    <xf borderId="1" fillId="3" fontId="3" numFmtId="3" xfId="0" applyBorder="1" applyFill="1" applyFont="1" applyNumberFormat="1"/>
    <xf borderId="1" fillId="0" fontId="7" numFmtId="0" xfId="0" applyAlignment="1" applyBorder="1" applyFont="1">
      <alignment horizontal="center" vertical="center"/>
    </xf>
    <xf borderId="1" fillId="2" fontId="7" numFmtId="0" xfId="0" applyAlignment="1" applyBorder="1" applyFill="1" applyFont="1">
      <alignment horizontal="center" vertical="center"/>
    </xf>
    <xf borderId="1" fillId="2" fontId="7" numFmtId="0" xfId="0" applyAlignment="1" applyBorder="1" applyFill="1" applyFont="1">
      <alignment horizontal="center" readingOrder="0" vertical="center"/>
    </xf>
    <xf borderId="1" fillId="0" fontId="8" numFmtId="0" xfId="0" applyAlignment="1" applyBorder="1" applyFont="1">
      <alignment horizontal="center"/>
    </xf>
    <xf borderId="1" fillId="0" fontId="8" numFmtId="10" xfId="0" applyAlignment="1" applyBorder="1" applyFont="1" applyNumberFormat="1">
      <alignment horizontal="center"/>
    </xf>
    <xf borderId="0" fillId="0" fontId="11" numFmtId="0" xfId="0" applyAlignment="1" applyFont="1">
      <alignment horizontal="center"/>
    </xf>
    <xf borderId="0" fillId="0" fontId="12" numFmtId="0" xfId="0" applyAlignment="1" applyFont="1">
      <alignment vertical="center"/>
    </xf>
    <xf borderId="0" fillId="0" fontId="7" numFmtId="0" xfId="0" applyAlignment="1" applyFont="1">
      <alignment horizontal="left" vertical="center"/>
    </xf>
    <xf borderId="0" fillId="0" fontId="11" numFmtId="10" xfId="0" applyFont="1" applyNumberFormat="1"/>
    <xf borderId="3" fillId="7" fontId="13" numFmtId="0" xfId="0" applyAlignment="1" applyBorder="1" applyFill="1" applyFont="1">
      <alignment horizontal="center" vertical="center"/>
    </xf>
    <xf borderId="4" fillId="0" fontId="14" numFmtId="0" xfId="0" applyBorder="1" applyFont="1"/>
    <xf borderId="5" fillId="0" fontId="14" numFmtId="0" xfId="0" applyBorder="1" applyFont="1"/>
    <xf borderId="6" fillId="0" fontId="14" numFmtId="0" xfId="0" applyBorder="1" applyFont="1"/>
    <xf borderId="7" fillId="0" fontId="14" numFmtId="0" xfId="0" applyBorder="1" applyFont="1"/>
    <xf borderId="8" fillId="0" fontId="14" numFmtId="0" xfId="0" applyBorder="1" applyFont="1"/>
    <xf borderId="0" fillId="8" fontId="15" numFmtId="0" xfId="0" applyAlignment="1" applyFill="1" applyFont="1">
      <alignment shrinkToFit="0" vertical="bottom" wrapText="0"/>
    </xf>
    <xf borderId="0" fillId="8" fontId="16" numFmtId="0" xfId="0" applyFill="1" applyFont="1"/>
    <xf borderId="9" fillId="9" fontId="17" numFmtId="0" xfId="0" applyAlignment="1" applyBorder="1" applyFill="1" applyFont="1">
      <alignment horizontal="center" shrinkToFit="0" vertical="center" wrapText="0"/>
    </xf>
    <xf borderId="10" fillId="0" fontId="14" numFmtId="0" xfId="0" applyBorder="1" applyFont="1"/>
    <xf borderId="11" fillId="0" fontId="14" numFmtId="0" xfId="0" applyBorder="1" applyFont="1"/>
    <xf borderId="12" fillId="0" fontId="14" numFmtId="0" xfId="0" applyBorder="1" applyFont="1"/>
    <xf borderId="13" fillId="0" fontId="14" numFmtId="0" xfId="0" applyBorder="1" applyFont="1"/>
    <xf borderId="14" fillId="0" fontId="14" numFmtId="0" xfId="0" applyBorder="1" applyFont="1"/>
    <xf borderId="9" fillId="2" fontId="18" numFmtId="3" xfId="0" applyAlignment="1" applyBorder="1" applyFill="1" applyFont="1" applyNumberFormat="1">
      <alignment horizontal="center" shrinkToFit="0" vertical="center" wrapText="0"/>
    </xf>
    <xf borderId="9" fillId="2" fontId="18" numFmtId="10" xfId="0" applyAlignment="1" applyBorder="1" applyFill="1" applyFont="1" applyNumberFormat="1">
      <alignment horizontal="center" shrinkToFit="0" vertical="center" wrapText="0"/>
    </xf>
    <xf borderId="0" fillId="0" fontId="19"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8</xdr:row>
      <xdr:rowOff>123825</xdr:rowOff>
    </xdr:from>
    <xdr:ext cx="4562475" cy="4086225"/>
    <xdr:pic>
      <xdr:nvPicPr>
        <xdr:cNvPr id="1492583668"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276225</xdr:colOff>
      <xdr:row>44</xdr:row>
      <xdr:rowOff>104775</xdr:rowOff>
    </xdr:from>
    <xdr:ext cx="8715375" cy="4152900"/>
    <xdr:pic>
      <xdr:nvPicPr>
        <xdr:cNvPr id="197894843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114300</xdr:colOff>
      <xdr:row>26</xdr:row>
      <xdr:rowOff>19050</xdr:rowOff>
    </xdr:from>
    <xdr:ext cx="4448175" cy="4191000"/>
    <xdr:pic>
      <xdr:nvPicPr>
        <xdr:cNvPr id="23087480"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114300</xdr:colOff>
      <xdr:row>8</xdr:row>
      <xdr:rowOff>123825</xdr:rowOff>
    </xdr:from>
    <xdr:ext cx="4448175" cy="4086225"/>
    <xdr:pic>
      <xdr:nvPicPr>
        <xdr:cNvPr id="392161932"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26</xdr:row>
      <xdr:rowOff>38100</xdr:rowOff>
    </xdr:from>
    <xdr:ext cx="4562475" cy="4191000"/>
    <xdr:pic>
      <xdr:nvPicPr>
        <xdr:cNvPr id="734712459"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 width="11.0"/>
    <col customWidth="1" min="4" max="4" width="2.43"/>
    <col customWidth="1" min="5" max="7" width="11.0"/>
    <col customWidth="1" min="8" max="8" width="2.43"/>
    <col customWidth="1" min="9" max="11" width="11.0"/>
    <col customWidth="1" min="12" max="12" width="2.43"/>
    <col customWidth="1" min="13" max="15" width="11.0"/>
  </cols>
  <sheetData>
    <row r="1" ht="27.75" customHeight="1">
      <c r="A1" s="58" t="s">
        <v>283</v>
      </c>
      <c r="B1" s="59"/>
      <c r="C1" s="59"/>
      <c r="D1" s="59"/>
      <c r="E1" s="59"/>
      <c r="F1" s="59"/>
      <c r="G1" s="59"/>
      <c r="H1" s="59"/>
      <c r="I1" s="59"/>
      <c r="J1" s="59"/>
      <c r="K1" s="59"/>
      <c r="L1" s="59"/>
      <c r="M1" s="59"/>
      <c r="N1" s="59"/>
      <c r="O1" s="60"/>
    </row>
    <row r="2" ht="27.75" customHeight="1">
      <c r="A2" s="61"/>
      <c r="B2" s="62"/>
      <c r="C2" s="62"/>
      <c r="D2" s="62"/>
      <c r="E2" s="62"/>
      <c r="F2" s="62"/>
      <c r="G2" s="62"/>
      <c r="H2" s="62"/>
      <c r="I2" s="62"/>
      <c r="J2" s="62"/>
      <c r="K2" s="62"/>
      <c r="L2" s="62"/>
      <c r="M2" s="62"/>
      <c r="N2" s="62"/>
      <c r="O2" s="63"/>
    </row>
    <row r="3" ht="19.5" customHeight="1">
      <c r="A3" s="64"/>
      <c r="B3" s="65"/>
      <c r="C3" s="64"/>
      <c r="D3" s="64"/>
      <c r="E3" s="64"/>
      <c r="F3" s="65"/>
      <c r="G3" s="64"/>
      <c r="H3" s="65"/>
      <c r="I3" s="64"/>
      <c r="J3" s="65"/>
      <c r="K3" s="64"/>
      <c r="L3" s="64"/>
      <c r="M3" s="64"/>
      <c r="N3" s="64"/>
      <c r="O3" s="64"/>
    </row>
    <row r="4" ht="19.5" customHeight="1">
      <c r="A4" s="66" t="s">
        <v>284</v>
      </c>
      <c r="B4" s="67"/>
      <c r="C4" s="68"/>
      <c r="D4" s="64"/>
      <c r="E4" s="66" t="s">
        <v>285</v>
      </c>
      <c r="F4" s="67"/>
      <c r="G4" s="68"/>
      <c r="H4" s="64"/>
      <c r="I4" s="66" t="s">
        <v>286</v>
      </c>
      <c r="J4" s="67"/>
      <c r="K4" s="68"/>
      <c r="L4" s="64"/>
      <c r="M4" s="66" t="s">
        <v>20</v>
      </c>
      <c r="N4" s="67"/>
      <c r="O4" s="68"/>
    </row>
    <row r="5" ht="19.5" customHeight="1">
      <c r="A5" s="69"/>
      <c r="B5" s="70"/>
      <c r="C5" s="71"/>
      <c r="D5" s="64"/>
      <c r="E5" s="69"/>
      <c r="F5" s="70"/>
      <c r="G5" s="71"/>
      <c r="H5" s="64"/>
      <c r="I5" s="69"/>
      <c r="J5" s="70"/>
      <c r="K5" s="71"/>
      <c r="L5" s="64"/>
      <c r="M5" s="69"/>
      <c r="N5" s="70"/>
      <c r="O5" s="71"/>
    </row>
    <row r="6" ht="19.5" customHeight="1">
      <c r="A6" s="72">
        <f>'Pivot Table'!B6</f>
        <v>821855</v>
      </c>
      <c r="B6" s="67"/>
      <c r="C6" s="68"/>
      <c r="D6" s="64"/>
      <c r="E6" s="72">
        <f>'Pivot Table'!C6</f>
        <v>245636</v>
      </c>
      <c r="F6" s="67"/>
      <c r="G6" s="68"/>
      <c r="H6" s="64"/>
      <c r="I6" s="72">
        <f>'Pivot Table'!D6</f>
        <v>43</v>
      </c>
      <c r="J6" s="67"/>
      <c r="K6" s="68"/>
      <c r="L6" s="64"/>
      <c r="M6" s="73">
        <f>'Pivot Table'!G6</f>
        <v>0.2988799727</v>
      </c>
      <c r="N6" s="67"/>
      <c r="O6" s="68"/>
    </row>
    <row r="7" ht="19.5" customHeight="1">
      <c r="A7" s="69"/>
      <c r="B7" s="70"/>
      <c r="C7" s="71"/>
      <c r="D7" s="64"/>
      <c r="E7" s="69"/>
      <c r="F7" s="70"/>
      <c r="G7" s="71"/>
      <c r="H7" s="64"/>
      <c r="I7" s="69"/>
      <c r="J7" s="70"/>
      <c r="K7" s="71"/>
      <c r="L7" s="64"/>
      <c r="M7" s="69"/>
      <c r="N7" s="70"/>
      <c r="O7" s="71"/>
    </row>
    <row r="8" ht="19.5" customHeight="1">
      <c r="A8" s="64"/>
      <c r="B8" s="64"/>
      <c r="C8" s="64"/>
      <c r="D8" s="64"/>
      <c r="E8" s="64"/>
      <c r="F8" s="64"/>
      <c r="G8" s="64"/>
      <c r="H8" s="64"/>
      <c r="I8" s="64"/>
      <c r="J8" s="64"/>
      <c r="K8" s="64"/>
      <c r="L8" s="64"/>
      <c r="M8" s="64"/>
      <c r="N8" s="64"/>
      <c r="O8" s="64"/>
    </row>
    <row r="9" ht="19.5" customHeight="1">
      <c r="A9" s="64"/>
      <c r="B9" s="64"/>
      <c r="C9" s="64"/>
      <c r="D9" s="64"/>
      <c r="E9" s="64"/>
      <c r="F9" s="64"/>
      <c r="G9" s="64"/>
      <c r="H9" s="64"/>
      <c r="I9" s="64"/>
      <c r="J9" s="64"/>
      <c r="K9" s="64"/>
      <c r="L9" s="64"/>
      <c r="M9" s="64"/>
      <c r="N9" s="64"/>
      <c r="O9" s="64"/>
    </row>
    <row r="10" ht="19.5" customHeight="1">
      <c r="A10" s="64"/>
      <c r="B10" s="64"/>
      <c r="C10" s="64"/>
      <c r="D10" s="64"/>
      <c r="E10" s="64"/>
      <c r="F10" s="64"/>
      <c r="G10" s="64"/>
      <c r="H10" s="64"/>
      <c r="I10" s="64"/>
      <c r="J10" s="64"/>
      <c r="K10" s="64"/>
      <c r="L10" s="64"/>
      <c r="M10" s="64"/>
      <c r="N10" s="64"/>
      <c r="O10" s="64"/>
    </row>
    <row r="11" ht="19.5" customHeight="1">
      <c r="A11" s="64"/>
      <c r="B11" s="64"/>
      <c r="C11" s="64"/>
      <c r="D11" s="64"/>
      <c r="E11" s="64"/>
      <c r="F11" s="64"/>
      <c r="G11" s="64"/>
      <c r="H11" s="64"/>
      <c r="I11" s="64"/>
      <c r="J11" s="64"/>
      <c r="K11" s="64"/>
      <c r="L11" s="64"/>
      <c r="M11" s="64"/>
      <c r="N11" s="64"/>
      <c r="O11" s="64"/>
    </row>
    <row r="12" ht="19.5" customHeight="1">
      <c r="A12" s="64"/>
      <c r="B12" s="64"/>
      <c r="C12" s="64"/>
      <c r="D12" s="64"/>
      <c r="E12" s="64"/>
      <c r="F12" s="64"/>
      <c r="G12" s="64"/>
      <c r="H12" s="64"/>
      <c r="I12" s="64"/>
      <c r="J12" s="64"/>
      <c r="K12" s="64"/>
      <c r="L12" s="64"/>
      <c r="M12" s="64"/>
      <c r="N12" s="64"/>
      <c r="O12" s="64"/>
    </row>
    <row r="13" ht="19.5" customHeight="1">
      <c r="A13" s="64"/>
      <c r="B13" s="64"/>
      <c r="C13" s="64"/>
      <c r="D13" s="64"/>
      <c r="E13" s="64"/>
      <c r="F13" s="64"/>
      <c r="G13" s="64"/>
      <c r="H13" s="64"/>
      <c r="I13" s="64"/>
      <c r="J13" s="64"/>
      <c r="K13" s="64"/>
      <c r="L13" s="64"/>
      <c r="M13" s="64"/>
      <c r="N13" s="64"/>
      <c r="O13" s="64"/>
    </row>
    <row r="14" ht="19.5" customHeight="1">
      <c r="A14" s="64"/>
      <c r="B14" s="64"/>
      <c r="C14" s="64"/>
      <c r="D14" s="64"/>
      <c r="E14" s="64"/>
      <c r="F14" s="64"/>
      <c r="G14" s="64"/>
      <c r="H14" s="64"/>
      <c r="I14" s="64"/>
      <c r="J14" s="64"/>
      <c r="K14" s="64"/>
      <c r="L14" s="64"/>
      <c r="M14" s="64"/>
      <c r="N14" s="64"/>
      <c r="O14" s="64"/>
    </row>
    <row r="15" ht="19.5" customHeight="1">
      <c r="A15" s="64"/>
      <c r="B15" s="64"/>
      <c r="C15" s="64"/>
      <c r="D15" s="64"/>
      <c r="E15" s="64"/>
      <c r="F15" s="64"/>
      <c r="G15" s="64"/>
      <c r="H15" s="64"/>
      <c r="I15" s="64"/>
      <c r="J15" s="64"/>
      <c r="K15" s="64"/>
      <c r="L15" s="64"/>
      <c r="M15" s="64"/>
      <c r="N15" s="64"/>
      <c r="O15" s="64"/>
    </row>
    <row r="16" ht="19.5" customHeight="1">
      <c r="A16" s="64"/>
      <c r="B16" s="64"/>
      <c r="C16" s="64"/>
      <c r="D16" s="64"/>
      <c r="E16" s="64"/>
      <c r="F16" s="64"/>
      <c r="G16" s="64"/>
      <c r="H16" s="64"/>
      <c r="I16" s="64"/>
      <c r="J16" s="64"/>
      <c r="K16" s="64"/>
      <c r="L16" s="64"/>
      <c r="M16" s="64"/>
      <c r="N16" s="64"/>
      <c r="O16" s="64"/>
    </row>
    <row r="17" ht="19.5" customHeight="1">
      <c r="A17" s="64"/>
      <c r="B17" s="64"/>
      <c r="C17" s="64"/>
      <c r="D17" s="64"/>
      <c r="E17" s="64"/>
      <c r="F17" s="64"/>
      <c r="G17" s="64"/>
      <c r="H17" s="64"/>
      <c r="I17" s="64"/>
      <c r="J17" s="64"/>
      <c r="K17" s="64"/>
      <c r="L17" s="64"/>
      <c r="M17" s="64"/>
      <c r="N17" s="64"/>
      <c r="O17" s="64"/>
    </row>
    <row r="18" ht="19.5" customHeight="1">
      <c r="A18" s="64"/>
      <c r="B18" s="64"/>
      <c r="C18" s="64"/>
      <c r="D18" s="64"/>
      <c r="E18" s="64"/>
      <c r="F18" s="64"/>
      <c r="G18" s="64"/>
      <c r="H18" s="64"/>
      <c r="I18" s="64"/>
      <c r="J18" s="64"/>
      <c r="K18" s="64"/>
      <c r="L18" s="64"/>
      <c r="M18" s="64"/>
      <c r="N18" s="64"/>
      <c r="O18" s="64"/>
    </row>
    <row r="19" ht="19.5" customHeight="1">
      <c r="A19" s="64"/>
      <c r="B19" s="64"/>
      <c r="C19" s="64"/>
      <c r="D19" s="64"/>
      <c r="E19" s="64"/>
      <c r="F19" s="64"/>
      <c r="G19" s="64"/>
      <c r="H19" s="64"/>
      <c r="I19" s="64"/>
      <c r="J19" s="64"/>
      <c r="K19" s="64"/>
      <c r="L19" s="64"/>
      <c r="M19" s="64"/>
      <c r="N19" s="64"/>
      <c r="O19" s="64"/>
    </row>
    <row r="20" ht="19.5" customHeight="1">
      <c r="A20" s="64"/>
      <c r="B20" s="64"/>
      <c r="C20" s="64"/>
      <c r="D20" s="64"/>
      <c r="E20" s="64"/>
      <c r="F20" s="64"/>
      <c r="G20" s="64"/>
      <c r="H20" s="64"/>
      <c r="I20" s="64"/>
      <c r="J20" s="64"/>
      <c r="K20" s="64"/>
      <c r="L20" s="64"/>
      <c r="M20" s="64"/>
      <c r="N20" s="64"/>
      <c r="O20" s="64"/>
    </row>
    <row r="21" ht="19.5" customHeight="1">
      <c r="A21" s="64"/>
      <c r="B21" s="64"/>
      <c r="C21" s="64"/>
      <c r="D21" s="64"/>
      <c r="E21" s="64"/>
      <c r="F21" s="64"/>
      <c r="G21" s="64"/>
      <c r="H21" s="64"/>
      <c r="I21" s="64"/>
      <c r="J21" s="64"/>
      <c r="K21" s="64"/>
      <c r="L21" s="64"/>
      <c r="M21" s="64"/>
      <c r="N21" s="64"/>
      <c r="O21" s="64"/>
    </row>
    <row r="22" ht="19.5" customHeight="1">
      <c r="A22" s="64"/>
      <c r="B22" s="64"/>
      <c r="C22" s="64"/>
      <c r="D22" s="64"/>
      <c r="E22" s="64"/>
      <c r="F22" s="64"/>
      <c r="G22" s="64"/>
      <c r="H22" s="64"/>
      <c r="I22" s="64"/>
      <c r="J22" s="64"/>
      <c r="K22" s="64"/>
      <c r="L22" s="64"/>
      <c r="M22" s="64"/>
      <c r="N22" s="64"/>
      <c r="O22" s="64"/>
    </row>
    <row r="23" ht="19.5" customHeight="1">
      <c r="A23" s="64"/>
      <c r="B23" s="64"/>
      <c r="C23" s="64"/>
      <c r="D23" s="64"/>
      <c r="E23" s="64"/>
      <c r="F23" s="64"/>
      <c r="G23" s="64"/>
      <c r="H23" s="64"/>
      <c r="I23" s="64"/>
      <c r="J23" s="64"/>
      <c r="K23" s="64"/>
      <c r="L23" s="64"/>
      <c r="M23" s="64"/>
      <c r="N23" s="64"/>
      <c r="O23" s="64"/>
    </row>
    <row r="24" ht="19.5" customHeight="1">
      <c r="A24" s="64"/>
      <c r="B24" s="64"/>
      <c r="C24" s="64"/>
      <c r="D24" s="64"/>
      <c r="E24" s="64"/>
      <c r="F24" s="64"/>
      <c r="G24" s="64"/>
      <c r="H24" s="64"/>
      <c r="I24" s="64"/>
      <c r="J24" s="64"/>
      <c r="K24" s="64"/>
      <c r="L24" s="64"/>
      <c r="M24" s="64"/>
      <c r="N24" s="64"/>
      <c r="O24" s="64"/>
    </row>
    <row r="25" ht="19.5" customHeight="1">
      <c r="A25" s="64"/>
      <c r="B25" s="64"/>
      <c r="C25" s="64"/>
      <c r="D25" s="64"/>
      <c r="E25" s="64"/>
      <c r="F25" s="64"/>
      <c r="G25" s="64"/>
      <c r="H25" s="64"/>
      <c r="I25" s="64"/>
      <c r="J25" s="64"/>
      <c r="K25" s="64"/>
      <c r="L25" s="64"/>
      <c r="M25" s="64"/>
      <c r="N25" s="64"/>
      <c r="O25" s="64"/>
    </row>
    <row r="26" ht="19.5" customHeight="1">
      <c r="A26" s="64"/>
      <c r="B26" s="64"/>
      <c r="C26" s="64"/>
      <c r="D26" s="64"/>
      <c r="E26" s="64"/>
      <c r="F26" s="64"/>
      <c r="G26" s="64"/>
      <c r="H26" s="64"/>
      <c r="I26" s="64"/>
      <c r="J26" s="64"/>
      <c r="K26" s="64"/>
      <c r="L26" s="64"/>
      <c r="M26" s="64"/>
      <c r="N26" s="64"/>
      <c r="O26" s="64"/>
    </row>
    <row r="27" ht="19.5" customHeight="1">
      <c r="A27" s="64"/>
      <c r="B27" s="64"/>
      <c r="C27" s="64"/>
      <c r="D27" s="64"/>
      <c r="E27" s="64"/>
      <c r="F27" s="64"/>
      <c r="G27" s="64"/>
      <c r="H27" s="64"/>
      <c r="I27" s="64"/>
      <c r="J27" s="64"/>
      <c r="K27" s="64"/>
      <c r="L27" s="64"/>
      <c r="M27" s="64"/>
      <c r="N27" s="64"/>
      <c r="O27" s="64"/>
    </row>
    <row r="28" ht="19.5" customHeight="1">
      <c r="A28" s="64"/>
      <c r="B28" s="64"/>
      <c r="C28" s="64"/>
      <c r="D28" s="64"/>
      <c r="E28" s="64"/>
      <c r="F28" s="64"/>
      <c r="G28" s="64"/>
      <c r="H28" s="64"/>
      <c r="I28" s="64"/>
      <c r="J28" s="64"/>
      <c r="K28" s="64"/>
      <c r="L28" s="64"/>
      <c r="M28" s="64"/>
      <c r="N28" s="64"/>
      <c r="O28" s="64"/>
    </row>
    <row r="29" ht="19.5" customHeight="1">
      <c r="A29" s="64"/>
      <c r="B29" s="64"/>
      <c r="C29" s="64"/>
      <c r="D29" s="64"/>
      <c r="E29" s="64"/>
      <c r="F29" s="64"/>
      <c r="G29" s="64"/>
      <c r="H29" s="64"/>
      <c r="I29" s="64"/>
      <c r="J29" s="64"/>
      <c r="K29" s="64"/>
      <c r="L29" s="64"/>
      <c r="M29" s="64"/>
      <c r="N29" s="64"/>
      <c r="O29" s="64"/>
    </row>
    <row r="30" ht="19.5" customHeight="1">
      <c r="A30" s="64"/>
      <c r="B30" s="64"/>
      <c r="C30" s="64"/>
      <c r="D30" s="64"/>
      <c r="E30" s="64"/>
      <c r="F30" s="64"/>
      <c r="G30" s="64"/>
      <c r="H30" s="64"/>
      <c r="I30" s="64"/>
      <c r="J30" s="64"/>
      <c r="K30" s="64"/>
      <c r="L30" s="64"/>
      <c r="M30" s="64"/>
      <c r="N30" s="64"/>
      <c r="O30" s="64"/>
    </row>
    <row r="31" ht="19.5" customHeight="1">
      <c r="A31" s="64"/>
      <c r="B31" s="64"/>
      <c r="C31" s="64"/>
      <c r="D31" s="64"/>
      <c r="E31" s="64"/>
      <c r="F31" s="64"/>
      <c r="G31" s="64"/>
      <c r="H31" s="64"/>
      <c r="I31" s="64"/>
      <c r="J31" s="64"/>
      <c r="K31" s="64"/>
      <c r="L31" s="64"/>
      <c r="M31" s="64"/>
      <c r="N31" s="64"/>
      <c r="O31" s="64"/>
    </row>
    <row r="32" ht="19.5" customHeight="1">
      <c r="A32" s="64"/>
      <c r="B32" s="64"/>
      <c r="C32" s="64"/>
      <c r="D32" s="64"/>
      <c r="E32" s="64"/>
      <c r="F32" s="64"/>
      <c r="G32" s="64"/>
      <c r="H32" s="64"/>
      <c r="I32" s="64"/>
      <c r="J32" s="64"/>
      <c r="K32" s="64"/>
      <c r="L32" s="64"/>
      <c r="M32" s="64"/>
      <c r="N32" s="64"/>
      <c r="O32" s="64"/>
      <c r="P32" s="74"/>
    </row>
    <row r="33" ht="19.5" customHeight="1">
      <c r="A33" s="64"/>
      <c r="B33" s="64"/>
      <c r="C33" s="64"/>
      <c r="D33" s="64"/>
      <c r="E33" s="64"/>
      <c r="F33" s="64"/>
      <c r="G33" s="64"/>
      <c r="H33" s="64"/>
      <c r="I33" s="64"/>
      <c r="J33" s="64"/>
      <c r="K33" s="64"/>
      <c r="L33" s="64"/>
      <c r="M33" s="64"/>
      <c r="N33" s="64"/>
      <c r="O33" s="64"/>
    </row>
    <row r="34" ht="19.5" customHeight="1">
      <c r="A34" s="64"/>
      <c r="B34" s="64"/>
      <c r="C34" s="64"/>
      <c r="D34" s="64"/>
      <c r="E34" s="64"/>
      <c r="F34" s="64"/>
      <c r="G34" s="64"/>
      <c r="H34" s="64"/>
      <c r="I34" s="64"/>
      <c r="J34" s="64"/>
      <c r="K34" s="64"/>
      <c r="L34" s="64"/>
      <c r="M34" s="64"/>
      <c r="N34" s="64"/>
      <c r="O34" s="64"/>
    </row>
    <row r="35" ht="19.5" customHeight="1">
      <c r="A35" s="64"/>
      <c r="B35" s="64"/>
      <c r="C35" s="64"/>
      <c r="D35" s="64"/>
      <c r="E35" s="64"/>
      <c r="F35" s="64"/>
      <c r="G35" s="64"/>
      <c r="H35" s="64"/>
      <c r="I35" s="64"/>
      <c r="J35" s="64"/>
      <c r="K35" s="64"/>
      <c r="L35" s="64"/>
      <c r="M35" s="64"/>
      <c r="N35" s="64"/>
      <c r="O35" s="64"/>
    </row>
    <row r="36" ht="19.5" customHeight="1">
      <c r="A36" s="64"/>
      <c r="B36" s="64"/>
      <c r="C36" s="64"/>
      <c r="D36" s="64"/>
      <c r="E36" s="64"/>
      <c r="F36" s="64"/>
      <c r="G36" s="64"/>
      <c r="H36" s="64"/>
      <c r="I36" s="64"/>
      <c r="J36" s="64"/>
      <c r="K36" s="64"/>
      <c r="L36" s="64"/>
      <c r="M36" s="64"/>
      <c r="N36" s="64"/>
      <c r="O36" s="64"/>
    </row>
    <row r="37" ht="19.5" customHeight="1">
      <c r="A37" s="64"/>
      <c r="B37" s="64"/>
      <c r="C37" s="64"/>
      <c r="D37" s="64"/>
      <c r="E37" s="64"/>
      <c r="F37" s="64"/>
      <c r="G37" s="64"/>
      <c r="H37" s="64"/>
      <c r="I37" s="64"/>
      <c r="J37" s="64"/>
      <c r="K37" s="64"/>
      <c r="L37" s="64"/>
      <c r="M37" s="64"/>
      <c r="N37" s="64"/>
      <c r="O37" s="64"/>
    </row>
    <row r="38" ht="19.5" customHeight="1">
      <c r="A38" s="64"/>
      <c r="B38" s="64"/>
      <c r="C38" s="64"/>
      <c r="D38" s="64"/>
      <c r="E38" s="64"/>
      <c r="F38" s="64"/>
      <c r="G38" s="64"/>
      <c r="H38" s="64"/>
      <c r="I38" s="64"/>
      <c r="J38" s="64"/>
      <c r="K38" s="64"/>
      <c r="L38" s="64"/>
      <c r="M38" s="64"/>
      <c r="N38" s="64"/>
      <c r="O38" s="64"/>
    </row>
    <row r="39" ht="19.5" customHeight="1">
      <c r="A39" s="64"/>
      <c r="B39" s="64"/>
      <c r="C39" s="64"/>
      <c r="D39" s="64"/>
      <c r="E39" s="64"/>
      <c r="F39" s="64"/>
      <c r="G39" s="64"/>
      <c r="H39" s="64"/>
      <c r="I39" s="64"/>
      <c r="J39" s="64"/>
      <c r="K39" s="64"/>
      <c r="L39" s="64"/>
      <c r="M39" s="64"/>
      <c r="N39" s="64"/>
      <c r="O39" s="64"/>
    </row>
    <row r="40" ht="19.5" customHeight="1">
      <c r="A40" s="64"/>
      <c r="B40" s="64"/>
      <c r="C40" s="64"/>
      <c r="D40" s="64"/>
      <c r="E40" s="64"/>
      <c r="F40" s="64"/>
      <c r="G40" s="64"/>
      <c r="H40" s="64"/>
      <c r="I40" s="64"/>
      <c r="J40" s="64"/>
      <c r="K40" s="64"/>
      <c r="L40" s="64"/>
      <c r="M40" s="64"/>
      <c r="N40" s="64"/>
      <c r="O40" s="64"/>
    </row>
    <row r="41" ht="19.5" customHeight="1">
      <c r="A41" s="64"/>
      <c r="B41" s="64"/>
      <c r="C41" s="64"/>
      <c r="D41" s="64"/>
      <c r="E41" s="64"/>
      <c r="F41" s="64"/>
      <c r="G41" s="64"/>
      <c r="H41" s="64"/>
      <c r="I41" s="64"/>
      <c r="J41" s="64"/>
      <c r="K41" s="64"/>
      <c r="L41" s="64"/>
      <c r="M41" s="64"/>
      <c r="N41" s="64"/>
      <c r="O41" s="64"/>
    </row>
    <row r="42" ht="19.5" customHeight="1">
      <c r="A42" s="64"/>
      <c r="B42" s="64"/>
      <c r="C42" s="64"/>
      <c r="D42" s="64"/>
      <c r="E42" s="64"/>
      <c r="F42" s="64"/>
      <c r="G42" s="64"/>
      <c r="H42" s="64"/>
      <c r="I42" s="64"/>
      <c r="J42" s="64"/>
      <c r="K42" s="64"/>
      <c r="L42" s="64"/>
      <c r="M42" s="64"/>
      <c r="N42" s="64"/>
      <c r="O42" s="64"/>
    </row>
    <row r="43" ht="19.5" customHeight="1">
      <c r="A43" s="64"/>
      <c r="B43" s="64"/>
      <c r="C43" s="64"/>
      <c r="D43" s="64"/>
      <c r="E43" s="64"/>
      <c r="F43" s="64"/>
      <c r="G43" s="64"/>
      <c r="H43" s="64"/>
      <c r="I43" s="64"/>
      <c r="J43" s="64"/>
      <c r="K43" s="64"/>
      <c r="L43" s="64"/>
      <c r="M43" s="64"/>
      <c r="N43" s="64"/>
      <c r="O43" s="64"/>
    </row>
    <row r="44" ht="19.5" customHeight="1">
      <c r="A44" s="64"/>
      <c r="B44" s="64"/>
      <c r="C44" s="64"/>
      <c r="D44" s="64"/>
      <c r="E44" s="64"/>
      <c r="F44" s="64"/>
      <c r="G44" s="64"/>
      <c r="H44" s="64"/>
      <c r="I44" s="64"/>
      <c r="J44" s="64"/>
      <c r="K44" s="64"/>
      <c r="L44" s="64"/>
      <c r="M44" s="64"/>
      <c r="N44" s="64"/>
      <c r="O44" s="64"/>
    </row>
    <row r="45" ht="19.5" customHeight="1">
      <c r="A45" s="64"/>
      <c r="B45" s="64"/>
      <c r="C45" s="64"/>
      <c r="D45" s="64"/>
      <c r="E45" s="64"/>
      <c r="F45" s="64"/>
      <c r="G45" s="64"/>
      <c r="H45" s="64"/>
      <c r="I45" s="64"/>
      <c r="J45" s="64"/>
      <c r="K45" s="64"/>
      <c r="L45" s="64"/>
      <c r="M45" s="64"/>
      <c r="N45" s="64"/>
      <c r="O45" s="64"/>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9">
    <mergeCell ref="M4:O5"/>
    <mergeCell ref="M6:O7"/>
    <mergeCell ref="A1:O2"/>
    <mergeCell ref="A4:C5"/>
    <mergeCell ref="E4:G5"/>
    <mergeCell ref="I4:K5"/>
    <mergeCell ref="A6:C7"/>
    <mergeCell ref="E6:G7"/>
    <mergeCell ref="I6:K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43"/>
    <col customWidth="1" min="2" max="2" width="17.14"/>
    <col customWidth="1" min="3" max="3" width="18.29"/>
    <col customWidth="1" min="4" max="4" width="17.29"/>
    <col customWidth="1" min="5" max="5" width="18.57"/>
    <col customWidth="1" min="6" max="6" width="18.0"/>
  </cols>
  <sheetData>
    <row r="1">
      <c r="A1" s="1" t="s">
        <v>0</v>
      </c>
      <c r="B1" s="2"/>
      <c r="C1" s="2"/>
      <c r="D1" s="3"/>
      <c r="E1" s="2"/>
      <c r="F1" s="3"/>
      <c r="G1" s="3"/>
      <c r="H1" s="4"/>
      <c r="I1" s="4"/>
      <c r="J1" s="4"/>
      <c r="K1" s="4"/>
      <c r="L1" s="4"/>
      <c r="M1" s="4"/>
      <c r="N1" s="4"/>
      <c r="O1" s="4"/>
      <c r="P1" s="4"/>
      <c r="Q1" s="4"/>
      <c r="R1" s="4"/>
      <c r="S1" s="4"/>
      <c r="T1" s="4"/>
      <c r="U1" s="4"/>
      <c r="V1" s="4"/>
      <c r="W1" s="4"/>
      <c r="X1" s="4"/>
      <c r="Y1" s="4"/>
      <c r="Z1" s="4"/>
      <c r="AA1" s="4"/>
      <c r="AB1" s="4"/>
      <c r="AC1" s="4"/>
      <c r="AD1" s="4"/>
      <c r="AE1" s="4"/>
    </row>
    <row r="2">
      <c r="A2" s="9" t="s">
        <v>5</v>
      </c>
      <c r="B2" s="10" t="s">
        <v>11</v>
      </c>
      <c r="C2" s="10" t="s">
        <v>14</v>
      </c>
      <c r="D2" s="9" t="s">
        <v>15</v>
      </c>
      <c r="E2" s="10" t="s">
        <v>17</v>
      </c>
      <c r="F2" s="9" t="s">
        <v>18</v>
      </c>
      <c r="G2" s="9" t="s">
        <v>20</v>
      </c>
      <c r="H2" s="14"/>
      <c r="I2" s="14"/>
      <c r="J2" s="14"/>
      <c r="K2" s="14"/>
      <c r="L2" s="14"/>
      <c r="M2" s="14"/>
      <c r="N2" s="14"/>
      <c r="O2" s="14"/>
      <c r="P2" s="14"/>
      <c r="Q2" s="14"/>
      <c r="R2" s="14"/>
      <c r="S2" s="14"/>
      <c r="T2" s="14"/>
      <c r="U2" s="14"/>
      <c r="V2" s="14"/>
      <c r="W2" s="14"/>
      <c r="X2" s="14"/>
      <c r="Y2" s="14"/>
      <c r="Z2" s="14"/>
      <c r="AA2" s="14"/>
      <c r="AB2" s="14"/>
      <c r="AC2" s="14"/>
      <c r="AD2" s="14"/>
      <c r="AE2" s="14"/>
    </row>
    <row r="3">
      <c r="A3" s="15" t="s">
        <v>46</v>
      </c>
      <c r="B3" s="17">
        <v>459990.0</v>
      </c>
      <c r="C3" s="17">
        <v>137220.0</v>
      </c>
      <c r="D3" s="20">
        <v>26.0</v>
      </c>
      <c r="E3" s="17">
        <v>322770.0</v>
      </c>
      <c r="F3" s="20">
        <v>409.0</v>
      </c>
      <c r="G3" s="27">
        <f t="shared" ref="G3:G6" si="1">(C3/B3)</f>
        <v>0.2983108328</v>
      </c>
    </row>
    <row r="4">
      <c r="A4" s="15" t="s">
        <v>62</v>
      </c>
      <c r="B4" s="17">
        <v>337170.0</v>
      </c>
      <c r="C4" s="17">
        <v>101011.0</v>
      </c>
      <c r="D4" s="20">
        <v>15.0</v>
      </c>
      <c r="E4" s="17">
        <v>236159.0</v>
      </c>
      <c r="F4" s="20">
        <v>225.0</v>
      </c>
      <c r="G4" s="27">
        <f t="shared" si="1"/>
        <v>0.2995847792</v>
      </c>
    </row>
    <row r="5">
      <c r="A5" s="15" t="s">
        <v>63</v>
      </c>
      <c r="B5" s="17">
        <v>24695.0</v>
      </c>
      <c r="C5" s="17">
        <v>7405.0</v>
      </c>
      <c r="D5" s="20">
        <v>2.0</v>
      </c>
      <c r="E5" s="17">
        <v>17290.0</v>
      </c>
      <c r="F5" s="20">
        <v>26.0</v>
      </c>
      <c r="G5" s="27">
        <f t="shared" si="1"/>
        <v>0.2998582709</v>
      </c>
    </row>
    <row r="6">
      <c r="A6" s="28" t="s">
        <v>64</v>
      </c>
      <c r="B6" s="29">
        <v>821855.0</v>
      </c>
      <c r="C6" s="29">
        <v>245636.0</v>
      </c>
      <c r="D6" s="28">
        <v>43.0</v>
      </c>
      <c r="E6" s="29">
        <v>576219.0</v>
      </c>
      <c r="F6" s="28">
        <v>660.0</v>
      </c>
      <c r="G6" s="30">
        <f t="shared" si="1"/>
        <v>0.2988799727</v>
      </c>
    </row>
    <row r="7">
      <c r="B7" s="32"/>
      <c r="C7" s="32"/>
      <c r="E7" s="32"/>
    </row>
    <row r="8">
      <c r="A8" s="1" t="s">
        <v>67</v>
      </c>
      <c r="B8" s="32"/>
      <c r="C8" s="32"/>
      <c r="E8" s="32"/>
    </row>
    <row r="9">
      <c r="A9" s="33" t="s">
        <v>25</v>
      </c>
      <c r="B9" s="33" t="s">
        <v>11</v>
      </c>
      <c r="C9" s="33" t="s">
        <v>14</v>
      </c>
      <c r="D9" s="33" t="s">
        <v>15</v>
      </c>
      <c r="E9" s="33" t="s">
        <v>32</v>
      </c>
      <c r="F9" s="34" t="s">
        <v>69</v>
      </c>
      <c r="G9" s="35" t="s">
        <v>20</v>
      </c>
    </row>
    <row r="10">
      <c r="A10" s="36" t="s">
        <v>41</v>
      </c>
      <c r="B10" s="36">
        <v>422205.0</v>
      </c>
      <c r="C10" s="36">
        <v>126294.0</v>
      </c>
      <c r="D10" s="36">
        <v>25.0</v>
      </c>
      <c r="E10" s="36">
        <v>361.0</v>
      </c>
      <c r="F10" s="17">
        <f t="shared" ref="F10:F13" si="2">B10/D10</f>
        <v>16888.2</v>
      </c>
      <c r="G10" s="27">
        <f t="shared" ref="G10:G13" si="3">C10/B10</f>
        <v>0.2991295698</v>
      </c>
      <c r="I10" s="37" t="str">
        <f>'Pivot Table'!A10</f>
        <v>Bucuresti</v>
      </c>
      <c r="J10" s="20" t="s">
        <v>70</v>
      </c>
      <c r="K10" s="38">
        <f>MAX('Pivot Table'!B10:B12)</f>
        <v>422205</v>
      </c>
    </row>
    <row r="11">
      <c r="A11" s="36" t="s">
        <v>22</v>
      </c>
      <c r="B11" s="36">
        <v>268165.0</v>
      </c>
      <c r="C11" s="36">
        <v>80075.0</v>
      </c>
      <c r="D11" s="36">
        <v>13.0</v>
      </c>
      <c r="E11" s="36">
        <v>217.0</v>
      </c>
      <c r="F11" s="17">
        <f t="shared" si="2"/>
        <v>20628.07692</v>
      </c>
      <c r="G11" s="27">
        <f t="shared" si="3"/>
        <v>0.2986034717</v>
      </c>
      <c r="I11" s="37" t="str">
        <f>'Pivot Table'!A12</f>
        <v>Iasi</v>
      </c>
      <c r="J11" s="20" t="s">
        <v>71</v>
      </c>
      <c r="K11" s="38">
        <f>MIN('Pivot Table'!B10:B12)</f>
        <v>131485</v>
      </c>
    </row>
    <row r="12">
      <c r="A12" s="36" t="s">
        <v>31</v>
      </c>
      <c r="B12" s="36">
        <v>131485.0</v>
      </c>
      <c r="C12" s="36">
        <v>39267.0</v>
      </c>
      <c r="D12" s="36">
        <v>5.0</v>
      </c>
      <c r="E12" s="36">
        <v>82.0</v>
      </c>
      <c r="F12" s="17">
        <f t="shared" si="2"/>
        <v>26297</v>
      </c>
      <c r="G12" s="27">
        <f t="shared" si="3"/>
        <v>0.2986424307</v>
      </c>
      <c r="I12" s="37" t="str">
        <f>'Pivot Table'!A10</f>
        <v>Bucuresti</v>
      </c>
      <c r="J12" s="20" t="s">
        <v>72</v>
      </c>
      <c r="K12" s="38">
        <f>MAX('Pivot Table'!C10:C12)</f>
        <v>126294</v>
      </c>
    </row>
    <row r="13">
      <c r="A13" s="39" t="s">
        <v>64</v>
      </c>
      <c r="B13" s="39">
        <v>821855.0</v>
      </c>
      <c r="C13" s="39">
        <v>245636.0</v>
      </c>
      <c r="D13" s="39">
        <v>43.0</v>
      </c>
      <c r="E13" s="39">
        <v>660.0</v>
      </c>
      <c r="F13" s="29">
        <f t="shared" si="2"/>
        <v>19112.90698</v>
      </c>
      <c r="G13" s="30">
        <f t="shared" si="3"/>
        <v>0.2988799727</v>
      </c>
      <c r="I13" s="37" t="str">
        <f>'Pivot Table'!A12</f>
        <v>Iasi</v>
      </c>
      <c r="J13" s="20" t="s">
        <v>73</v>
      </c>
      <c r="K13" s="38">
        <f>MIN('Pivot Table'!C10:C12)</f>
        <v>39267</v>
      </c>
    </row>
    <row r="14">
      <c r="B14" s="32"/>
      <c r="C14" s="32"/>
      <c r="E14" s="32"/>
    </row>
    <row r="15">
      <c r="A15" s="1" t="s">
        <v>74</v>
      </c>
      <c r="E15" s="32"/>
    </row>
    <row r="16">
      <c r="A16" s="40" t="s">
        <v>75</v>
      </c>
      <c r="B16" s="40" t="s">
        <v>15</v>
      </c>
      <c r="C16" s="40" t="s">
        <v>14</v>
      </c>
      <c r="D16" s="40" t="s">
        <v>11</v>
      </c>
      <c r="E16" s="40" t="s">
        <v>32</v>
      </c>
    </row>
    <row r="17">
      <c r="A17" s="20" t="s">
        <v>38</v>
      </c>
      <c r="B17" s="20">
        <v>15.0</v>
      </c>
      <c r="C17" s="20">
        <v>62865.0</v>
      </c>
      <c r="D17" s="20">
        <v>211335.0</v>
      </c>
      <c r="E17" s="20">
        <v>199.0</v>
      </c>
    </row>
    <row r="18">
      <c r="A18" s="20" t="s">
        <v>16</v>
      </c>
      <c r="B18" s="20">
        <v>11.0</v>
      </c>
      <c r="C18" s="20">
        <v>58370.0</v>
      </c>
      <c r="D18" s="20">
        <v>195080.0</v>
      </c>
      <c r="E18" s="20">
        <v>151.0</v>
      </c>
    </row>
    <row r="19">
      <c r="A19" s="20" t="s">
        <v>53</v>
      </c>
      <c r="B19" s="20">
        <v>6.0</v>
      </c>
      <c r="C19" s="20">
        <v>17526.0</v>
      </c>
      <c r="D19" s="20">
        <v>58525.0</v>
      </c>
      <c r="E19" s="20">
        <v>79.0</v>
      </c>
    </row>
    <row r="20">
      <c r="A20" s="20" t="s">
        <v>57</v>
      </c>
      <c r="B20" s="20">
        <v>11.0</v>
      </c>
      <c r="C20" s="20">
        <v>106875.0</v>
      </c>
      <c r="D20" s="20">
        <v>356915.0</v>
      </c>
      <c r="E20" s="20">
        <v>231.0</v>
      </c>
    </row>
    <row r="21" ht="15.75" customHeight="1">
      <c r="A21" s="28" t="s">
        <v>64</v>
      </c>
      <c r="B21" s="28">
        <v>43.0</v>
      </c>
      <c r="C21" s="28">
        <v>245636.0</v>
      </c>
      <c r="D21" s="28">
        <v>821855.0</v>
      </c>
      <c r="E21" s="28">
        <v>660.0</v>
      </c>
    </row>
    <row r="22" ht="15.75" customHeight="1">
      <c r="B22" s="32"/>
      <c r="C22" s="32"/>
      <c r="E22" s="32"/>
    </row>
    <row r="23" ht="15.75" customHeight="1">
      <c r="A23" s="1" t="s">
        <v>76</v>
      </c>
      <c r="B23" s="32"/>
      <c r="C23" s="32"/>
      <c r="E23" s="32"/>
    </row>
    <row r="24" ht="15.75" customHeight="1">
      <c r="A24" s="40" t="s">
        <v>77</v>
      </c>
      <c r="B24" s="40" t="s">
        <v>15</v>
      </c>
      <c r="C24" s="40" t="s">
        <v>11</v>
      </c>
      <c r="D24" s="40" t="s">
        <v>14</v>
      </c>
      <c r="E24" s="40" t="s">
        <v>32</v>
      </c>
      <c r="F24" s="41" t="s">
        <v>69</v>
      </c>
    </row>
    <row r="25" ht="15.75" customHeight="1">
      <c r="A25" s="20" t="s">
        <v>78</v>
      </c>
      <c r="B25" s="20">
        <v>14.0</v>
      </c>
      <c r="C25" s="20">
        <v>183180.0</v>
      </c>
      <c r="D25" s="20">
        <v>54723.0</v>
      </c>
      <c r="E25" s="20">
        <v>220.0</v>
      </c>
      <c r="F25" s="17">
        <f t="shared" ref="F25:F29" si="4">C25/B25</f>
        <v>13084.28571</v>
      </c>
    </row>
    <row r="26" ht="15.75" customHeight="1">
      <c r="A26" s="20" t="s">
        <v>79</v>
      </c>
      <c r="B26" s="20">
        <v>9.0</v>
      </c>
      <c r="C26" s="20">
        <v>170025.0</v>
      </c>
      <c r="D26" s="20">
        <v>50808.0</v>
      </c>
      <c r="E26" s="20">
        <v>96.0</v>
      </c>
      <c r="F26" s="17">
        <f t="shared" si="4"/>
        <v>18891.66667</v>
      </c>
    </row>
    <row r="27" ht="15.75" customHeight="1">
      <c r="A27" s="20" t="s">
        <v>80</v>
      </c>
      <c r="B27" s="20">
        <v>9.0</v>
      </c>
      <c r="C27" s="20">
        <v>172530.0</v>
      </c>
      <c r="D27" s="20">
        <v>51570.0</v>
      </c>
      <c r="E27" s="20">
        <v>136.0</v>
      </c>
      <c r="F27" s="17">
        <f t="shared" si="4"/>
        <v>19170</v>
      </c>
    </row>
    <row r="28" ht="15.75" customHeight="1">
      <c r="A28" s="20" t="s">
        <v>57</v>
      </c>
      <c r="B28" s="20">
        <v>11.0</v>
      </c>
      <c r="C28" s="20">
        <v>296120.0</v>
      </c>
      <c r="D28" s="20">
        <v>88535.0</v>
      </c>
      <c r="E28" s="20">
        <v>208.0</v>
      </c>
      <c r="F28" s="17">
        <f t="shared" si="4"/>
        <v>26920</v>
      </c>
    </row>
    <row r="29" ht="15.75" customHeight="1">
      <c r="A29" s="28" t="s">
        <v>64</v>
      </c>
      <c r="B29" s="28">
        <v>43.0</v>
      </c>
      <c r="C29" s="28">
        <v>821855.0</v>
      </c>
      <c r="D29" s="28">
        <v>245636.0</v>
      </c>
      <c r="E29" s="28">
        <v>660.0</v>
      </c>
      <c r="F29" s="29">
        <f t="shared" si="4"/>
        <v>19112.90698</v>
      </c>
    </row>
    <row r="30" ht="15.75" customHeight="1">
      <c r="B30" s="32"/>
      <c r="C30" s="32"/>
      <c r="E30" s="32"/>
    </row>
    <row r="31" ht="15.75" customHeight="1">
      <c r="A31" s="42" t="s">
        <v>81</v>
      </c>
      <c r="B31" s="32"/>
      <c r="C31" s="32"/>
      <c r="E31" s="32"/>
    </row>
    <row r="32" ht="15.75" customHeight="1">
      <c r="A32" s="43" t="s">
        <v>28</v>
      </c>
      <c r="B32" s="43" t="s">
        <v>15</v>
      </c>
      <c r="C32" s="44" t="s">
        <v>82</v>
      </c>
      <c r="D32" s="43" t="s">
        <v>32</v>
      </c>
      <c r="E32" s="45" t="s">
        <v>11</v>
      </c>
      <c r="F32" s="45" t="s">
        <v>14</v>
      </c>
      <c r="G32" s="46" t="s">
        <v>20</v>
      </c>
    </row>
    <row r="33" ht="15.75" customHeight="1">
      <c r="A33" s="20" t="s">
        <v>51</v>
      </c>
      <c r="B33" s="20">
        <v>9.0</v>
      </c>
      <c r="C33" s="27">
        <v>0.20930232558139536</v>
      </c>
      <c r="D33" s="20">
        <v>141.0</v>
      </c>
      <c r="E33" s="17">
        <v>112395.0</v>
      </c>
      <c r="F33" s="17">
        <v>33435.0</v>
      </c>
      <c r="G33" s="27">
        <f t="shared" ref="G33:G37" si="5">IFERROR(F33/E33,0)</f>
        <v>0.2974776458</v>
      </c>
    </row>
    <row r="34" ht="15.75" customHeight="1">
      <c r="A34" s="20" t="s">
        <v>34</v>
      </c>
      <c r="B34" s="20">
        <v>9.0</v>
      </c>
      <c r="C34" s="27">
        <v>0.20930232558139536</v>
      </c>
      <c r="D34" s="20">
        <v>156.0</v>
      </c>
      <c r="E34" s="17">
        <v>18425.0</v>
      </c>
      <c r="F34" s="17">
        <v>5321.0</v>
      </c>
      <c r="G34" s="27">
        <f t="shared" si="5"/>
        <v>0.2887924016</v>
      </c>
    </row>
    <row r="35" ht="15.75" customHeight="1">
      <c r="A35" s="20" t="s">
        <v>44</v>
      </c>
      <c r="B35" s="20">
        <v>16.0</v>
      </c>
      <c r="C35" s="27">
        <v>0.37209302325581395</v>
      </c>
      <c r="D35" s="20">
        <v>227.0</v>
      </c>
      <c r="E35" s="17">
        <v>215315.0</v>
      </c>
      <c r="F35" s="17">
        <v>64360.0</v>
      </c>
      <c r="G35" s="27">
        <f t="shared" si="5"/>
        <v>0.298910898</v>
      </c>
    </row>
    <row r="36" ht="15.75" customHeight="1">
      <c r="A36" s="20" t="s">
        <v>26</v>
      </c>
      <c r="B36" s="20">
        <v>9.0</v>
      </c>
      <c r="C36" s="27">
        <v>0.20930232558139536</v>
      </c>
      <c r="D36" s="20">
        <v>136.0</v>
      </c>
      <c r="E36" s="17">
        <v>475720.0</v>
      </c>
      <c r="F36" s="17">
        <v>142520.0</v>
      </c>
      <c r="G36" s="27">
        <f t="shared" si="5"/>
        <v>0.2995879929</v>
      </c>
    </row>
    <row r="37" ht="15.75" customHeight="1">
      <c r="A37" s="28" t="s">
        <v>64</v>
      </c>
      <c r="B37" s="28">
        <v>43.0</v>
      </c>
      <c r="C37" s="30">
        <v>1.0</v>
      </c>
      <c r="D37" s="28">
        <v>660.0</v>
      </c>
      <c r="E37" s="29">
        <v>821855.0</v>
      </c>
      <c r="F37" s="29">
        <v>245636.0</v>
      </c>
      <c r="G37" s="30">
        <f t="shared" si="5"/>
        <v>0.2988799727</v>
      </c>
    </row>
    <row r="38" ht="15.75" customHeight="1">
      <c r="B38" s="32"/>
      <c r="C38" s="32"/>
      <c r="E38" s="32"/>
    </row>
    <row r="39" ht="15.75" customHeight="1">
      <c r="A39" s="1" t="s">
        <v>83</v>
      </c>
      <c r="B39" s="32"/>
      <c r="C39" s="32"/>
      <c r="E39" s="32"/>
    </row>
    <row r="40" ht="15.75" customHeight="1">
      <c r="A40" s="40" t="s">
        <v>29</v>
      </c>
      <c r="B40" s="40" t="s">
        <v>15</v>
      </c>
      <c r="C40" s="48" t="s">
        <v>32</v>
      </c>
      <c r="D40" s="48" t="s">
        <v>14</v>
      </c>
      <c r="E40" s="48" t="s">
        <v>11</v>
      </c>
      <c r="F40" s="41" t="s">
        <v>69</v>
      </c>
    </row>
    <row r="41" ht="15.75" customHeight="1">
      <c r="A41" s="20" t="s">
        <v>24</v>
      </c>
      <c r="B41" s="20">
        <v>34.0</v>
      </c>
      <c r="C41" s="17">
        <v>519.0</v>
      </c>
      <c r="D41" s="17">
        <v>212201.0</v>
      </c>
      <c r="E41" s="17">
        <v>709460.0</v>
      </c>
      <c r="F41" s="17">
        <f t="shared" ref="F41:F43" si="6">AVERAGE(E41/B41)</f>
        <v>20866.47059</v>
      </c>
    </row>
    <row r="42" ht="15.75" customHeight="1">
      <c r="A42" s="20" t="s">
        <v>49</v>
      </c>
      <c r="B42" s="20">
        <v>9.0</v>
      </c>
      <c r="C42" s="17">
        <v>141.0</v>
      </c>
      <c r="D42" s="17">
        <v>33435.0</v>
      </c>
      <c r="E42" s="17">
        <v>112395.0</v>
      </c>
      <c r="F42" s="17">
        <f t="shared" si="6"/>
        <v>12488.33333</v>
      </c>
    </row>
    <row r="43" ht="15.75" customHeight="1">
      <c r="A43" s="28" t="s">
        <v>64</v>
      </c>
      <c r="B43" s="28">
        <v>43.0</v>
      </c>
      <c r="C43" s="29">
        <v>660.0</v>
      </c>
      <c r="D43" s="29">
        <v>245636.0</v>
      </c>
      <c r="E43" s="29">
        <v>821855.0</v>
      </c>
      <c r="F43" s="29">
        <f t="shared" si="6"/>
        <v>19112.90698</v>
      </c>
    </row>
    <row r="44" ht="15.75" customHeight="1">
      <c r="B44" s="32"/>
      <c r="C44" s="32"/>
      <c r="E44" s="32"/>
    </row>
    <row r="45" ht="15.75" customHeight="1">
      <c r="A45" s="1" t="s">
        <v>90</v>
      </c>
      <c r="B45" s="32"/>
      <c r="C45" s="32"/>
      <c r="E45" s="32"/>
    </row>
    <row r="46" ht="15.75" customHeight="1">
      <c r="A46" s="40" t="s">
        <v>21</v>
      </c>
      <c r="B46" s="48" t="s">
        <v>11</v>
      </c>
      <c r="C46" s="48" t="s">
        <v>14</v>
      </c>
      <c r="D46" s="40" t="s">
        <v>15</v>
      </c>
      <c r="E46" s="40" t="s">
        <v>32</v>
      </c>
    </row>
    <row r="47" ht="15.75" customHeight="1">
      <c r="A47" s="20" t="s">
        <v>94</v>
      </c>
      <c r="B47" s="17">
        <v>283355.0</v>
      </c>
      <c r="C47" s="17">
        <v>84856.0</v>
      </c>
      <c r="D47" s="20">
        <v>14.0</v>
      </c>
      <c r="E47" s="20">
        <v>259.0</v>
      </c>
    </row>
    <row r="48" ht="15.75" customHeight="1">
      <c r="A48" s="20" t="s">
        <v>95</v>
      </c>
      <c r="B48" s="17">
        <v>217495.0</v>
      </c>
      <c r="C48" s="17">
        <v>65042.0</v>
      </c>
      <c r="D48" s="20">
        <v>9.0</v>
      </c>
      <c r="E48" s="20">
        <v>99.0</v>
      </c>
    </row>
    <row r="49" ht="15.75" customHeight="1">
      <c r="A49" s="20" t="s">
        <v>97</v>
      </c>
      <c r="B49" s="17">
        <v>137415.0</v>
      </c>
      <c r="C49" s="17">
        <v>40955.0</v>
      </c>
      <c r="D49" s="20">
        <v>7.0</v>
      </c>
      <c r="E49" s="20">
        <v>84.0</v>
      </c>
    </row>
    <row r="50" ht="15.75" customHeight="1">
      <c r="A50" s="20" t="s">
        <v>100</v>
      </c>
      <c r="B50" s="17">
        <v>97860.0</v>
      </c>
      <c r="C50" s="17">
        <v>29330.0</v>
      </c>
      <c r="D50" s="20">
        <v>6.0</v>
      </c>
      <c r="E50" s="20">
        <v>107.0</v>
      </c>
    </row>
    <row r="51" ht="15.75" customHeight="1">
      <c r="A51" s="20" t="s">
        <v>68</v>
      </c>
      <c r="B51" s="17">
        <v>58750.0</v>
      </c>
      <c r="C51" s="17">
        <v>17450.0</v>
      </c>
      <c r="D51" s="20">
        <v>4.0</v>
      </c>
      <c r="E51" s="20">
        <v>58.0</v>
      </c>
    </row>
    <row r="52" ht="15.75" customHeight="1">
      <c r="A52" s="20" t="s">
        <v>103</v>
      </c>
      <c r="B52" s="17">
        <v>26980.0</v>
      </c>
      <c r="C52" s="17">
        <v>8003.0</v>
      </c>
      <c r="D52" s="20">
        <v>3.0</v>
      </c>
      <c r="E52" s="20">
        <v>53.0</v>
      </c>
    </row>
    <row r="53" ht="15.75" customHeight="1">
      <c r="A53" s="28" t="s">
        <v>64</v>
      </c>
      <c r="B53" s="29">
        <v>821855.0</v>
      </c>
      <c r="C53" s="29">
        <v>245636.0</v>
      </c>
      <c r="D53" s="28">
        <v>43.0</v>
      </c>
      <c r="E53" s="28">
        <v>660.0</v>
      </c>
    </row>
    <row r="54" ht="15.75" customHeight="1">
      <c r="B54" s="32"/>
      <c r="C54" s="32"/>
      <c r="E54" s="32"/>
    </row>
    <row r="55" ht="15.75" customHeight="1">
      <c r="B55" s="32"/>
      <c r="C55" s="32"/>
      <c r="E55" s="32"/>
    </row>
    <row r="56" ht="15.75" customHeight="1">
      <c r="B56" s="32"/>
      <c r="C56" s="32"/>
      <c r="E56" s="32"/>
    </row>
    <row r="57" ht="15.75" customHeight="1">
      <c r="B57" s="32"/>
      <c r="C57" s="32"/>
      <c r="E57" s="32"/>
    </row>
    <row r="58" ht="15.75" customHeight="1">
      <c r="B58" s="32"/>
      <c r="C58" s="32"/>
      <c r="E58" s="32"/>
    </row>
    <row r="59" ht="15.75" customHeight="1">
      <c r="B59" s="32"/>
      <c r="E59" s="32"/>
    </row>
    <row r="60" ht="15.75" customHeight="1">
      <c r="B60" s="32"/>
      <c r="C60" s="32"/>
      <c r="E60" s="32"/>
    </row>
    <row r="61" ht="15.75" customHeight="1">
      <c r="B61" s="32"/>
      <c r="C61" s="32"/>
      <c r="E61" s="32"/>
    </row>
    <row r="62" ht="15.75" customHeight="1">
      <c r="B62" s="32"/>
      <c r="C62" s="32"/>
      <c r="E62" s="32"/>
    </row>
    <row r="63" ht="15.75" customHeight="1">
      <c r="B63" s="32"/>
      <c r="C63" s="32"/>
      <c r="E63" s="32"/>
    </row>
    <row r="64" ht="15.75" customHeight="1">
      <c r="B64" s="32"/>
      <c r="C64" s="32"/>
      <c r="E64" s="32"/>
    </row>
    <row r="65" ht="15.75" customHeight="1">
      <c r="B65" s="32"/>
      <c r="C65" s="32"/>
      <c r="E65" s="32"/>
    </row>
    <row r="66" ht="15.75" customHeight="1">
      <c r="B66" s="32"/>
      <c r="C66" s="32"/>
      <c r="E66" s="32"/>
    </row>
    <row r="67" ht="15.75" customHeight="1">
      <c r="B67" s="32"/>
      <c r="C67" s="32"/>
      <c r="E67" s="32"/>
    </row>
    <row r="68" ht="15.75" customHeight="1">
      <c r="B68" s="32"/>
      <c r="C68" s="32"/>
      <c r="E68" s="32"/>
    </row>
    <row r="69" ht="15.75" customHeight="1">
      <c r="B69" s="32"/>
      <c r="C69" s="32"/>
      <c r="E69" s="32"/>
    </row>
    <row r="70" ht="15.75" customHeight="1">
      <c r="B70" s="32"/>
      <c r="C70" s="32"/>
      <c r="E70" s="32"/>
    </row>
    <row r="71" ht="15.75" customHeight="1">
      <c r="B71" s="32"/>
      <c r="C71" s="32"/>
      <c r="E71" s="32"/>
    </row>
    <row r="72" ht="15.75" customHeight="1">
      <c r="B72" s="32"/>
      <c r="C72" s="32"/>
      <c r="E72" s="32"/>
    </row>
    <row r="73" ht="15.75" customHeight="1">
      <c r="B73" s="32"/>
      <c r="C73" s="32"/>
      <c r="E73" s="32"/>
    </row>
    <row r="74" ht="15.75" customHeight="1">
      <c r="B74" s="32"/>
      <c r="C74" s="32"/>
      <c r="E74" s="32"/>
    </row>
    <row r="75" ht="15.75" customHeight="1">
      <c r="B75" s="32"/>
      <c r="C75" s="32"/>
      <c r="E75" s="32"/>
    </row>
    <row r="76" ht="15.75" customHeight="1">
      <c r="B76" s="32"/>
      <c r="C76" s="32"/>
      <c r="E76" s="32"/>
    </row>
    <row r="77" ht="15.75" customHeight="1">
      <c r="B77" s="32"/>
      <c r="C77" s="32"/>
      <c r="E77" s="32"/>
    </row>
    <row r="78" ht="15.75" customHeight="1">
      <c r="B78" s="32"/>
      <c r="C78" s="32"/>
      <c r="E78" s="32"/>
    </row>
    <row r="79" ht="15.75" customHeight="1">
      <c r="B79" s="32"/>
      <c r="C79" s="32"/>
      <c r="E79" s="32"/>
    </row>
    <row r="80" ht="15.75" customHeight="1">
      <c r="B80" s="32"/>
      <c r="C80" s="32"/>
      <c r="E80" s="32"/>
    </row>
    <row r="81" ht="15.75" customHeight="1">
      <c r="B81" s="32"/>
      <c r="C81" s="32"/>
      <c r="E81" s="32"/>
    </row>
    <row r="82" ht="15.75" customHeight="1">
      <c r="B82" s="32"/>
      <c r="C82" s="32"/>
      <c r="E82" s="32"/>
    </row>
    <row r="83" ht="15.75" customHeight="1">
      <c r="B83" s="32"/>
      <c r="C83" s="32"/>
      <c r="E83" s="32"/>
    </row>
    <row r="84" ht="15.75" customHeight="1">
      <c r="B84" s="32"/>
      <c r="C84" s="32"/>
      <c r="E84" s="32"/>
    </row>
    <row r="85" ht="15.75" customHeight="1">
      <c r="B85" s="32"/>
      <c r="C85" s="32"/>
      <c r="E85" s="32"/>
    </row>
    <row r="86" ht="15.75" customHeight="1">
      <c r="B86" s="32"/>
      <c r="C86" s="32"/>
      <c r="E86" s="32"/>
    </row>
    <row r="87" ht="15.75" customHeight="1">
      <c r="B87" s="32"/>
      <c r="C87" s="32"/>
      <c r="E87" s="32"/>
    </row>
    <row r="88" ht="15.75" customHeight="1">
      <c r="B88" s="32"/>
      <c r="C88" s="32"/>
      <c r="E88" s="32"/>
    </row>
    <row r="89" ht="15.75" customHeight="1">
      <c r="B89" s="32"/>
      <c r="C89" s="32"/>
      <c r="E89" s="32"/>
    </row>
    <row r="90" ht="15.75" customHeight="1">
      <c r="B90" s="32"/>
      <c r="C90" s="32"/>
      <c r="E90" s="32"/>
    </row>
    <row r="91" ht="15.75" customHeight="1">
      <c r="B91" s="32"/>
      <c r="C91" s="32"/>
      <c r="E91" s="32"/>
    </row>
    <row r="92" ht="15.75" customHeight="1">
      <c r="B92" s="32"/>
      <c r="C92" s="32"/>
      <c r="E92" s="32"/>
    </row>
    <row r="93" ht="15.75" customHeight="1">
      <c r="B93" s="32"/>
      <c r="C93" s="32"/>
      <c r="E93" s="32"/>
    </row>
    <row r="94" ht="15.75" customHeight="1">
      <c r="B94" s="32"/>
      <c r="C94" s="32"/>
      <c r="E94" s="32"/>
    </row>
    <row r="95" ht="15.75" customHeight="1">
      <c r="B95" s="32"/>
      <c r="C95" s="32"/>
      <c r="E95" s="32"/>
    </row>
    <row r="96" ht="15.75" customHeight="1">
      <c r="B96" s="32"/>
      <c r="C96" s="32"/>
      <c r="E96" s="32"/>
    </row>
    <row r="97" ht="15.75" customHeight="1">
      <c r="B97" s="32"/>
      <c r="C97" s="32"/>
      <c r="E97" s="32"/>
    </row>
    <row r="98" ht="15.75" customHeight="1">
      <c r="B98" s="32"/>
      <c r="C98" s="32"/>
      <c r="E98" s="32"/>
    </row>
    <row r="99" ht="15.75" customHeight="1">
      <c r="B99" s="32"/>
      <c r="C99" s="32"/>
      <c r="E99" s="32"/>
    </row>
    <row r="100" ht="15.75" customHeight="1">
      <c r="B100" s="32"/>
      <c r="C100" s="32"/>
      <c r="E100" s="32"/>
    </row>
    <row r="101" ht="15.75" customHeight="1">
      <c r="B101" s="32"/>
      <c r="C101" s="32"/>
      <c r="E101" s="32"/>
    </row>
    <row r="102" ht="15.75" customHeight="1">
      <c r="B102" s="32"/>
      <c r="C102" s="32"/>
      <c r="E102" s="32"/>
    </row>
    <row r="103" ht="15.75" customHeight="1">
      <c r="B103" s="32"/>
      <c r="C103" s="32"/>
      <c r="E103" s="32"/>
    </row>
    <row r="104" ht="15.75" customHeight="1">
      <c r="B104" s="32"/>
      <c r="C104" s="32"/>
      <c r="E104" s="32"/>
    </row>
    <row r="105" ht="15.75" customHeight="1">
      <c r="B105" s="32"/>
      <c r="C105" s="32"/>
      <c r="E105" s="32"/>
    </row>
    <row r="106" ht="15.75" customHeight="1">
      <c r="B106" s="32"/>
      <c r="C106" s="32"/>
      <c r="E106" s="32"/>
    </row>
    <row r="107" ht="15.75" customHeight="1">
      <c r="B107" s="32"/>
      <c r="C107" s="32"/>
      <c r="E107" s="32"/>
    </row>
    <row r="108" ht="15.75" customHeight="1">
      <c r="B108" s="32"/>
      <c r="C108" s="32"/>
      <c r="E108" s="32"/>
    </row>
    <row r="109" ht="15.75" customHeight="1">
      <c r="B109" s="32"/>
      <c r="C109" s="32"/>
      <c r="E109" s="32"/>
    </row>
    <row r="110" ht="15.75" customHeight="1">
      <c r="B110" s="32"/>
      <c r="C110" s="32"/>
      <c r="E110" s="32"/>
    </row>
    <row r="111" ht="15.75" customHeight="1">
      <c r="B111" s="32"/>
      <c r="C111" s="32"/>
      <c r="E111" s="32"/>
    </row>
    <row r="112" ht="15.75" customHeight="1">
      <c r="B112" s="32"/>
      <c r="C112" s="32"/>
      <c r="E112" s="32"/>
    </row>
    <row r="113" ht="15.75" customHeight="1">
      <c r="B113" s="32"/>
      <c r="C113" s="32"/>
      <c r="E113" s="32"/>
    </row>
    <row r="114" ht="15.75" customHeight="1">
      <c r="B114" s="32"/>
      <c r="C114" s="32"/>
      <c r="E114" s="32"/>
    </row>
    <row r="115" ht="15.75" customHeight="1">
      <c r="B115" s="32"/>
      <c r="C115" s="32"/>
      <c r="E115" s="32"/>
    </row>
    <row r="116" ht="15.75" customHeight="1">
      <c r="B116" s="32"/>
      <c r="C116" s="32"/>
      <c r="E116" s="32"/>
    </row>
    <row r="117" ht="15.75" customHeight="1">
      <c r="B117" s="32"/>
      <c r="C117" s="32"/>
      <c r="E117" s="32"/>
    </row>
    <row r="118" ht="15.75" customHeight="1">
      <c r="B118" s="32"/>
      <c r="C118" s="32"/>
      <c r="E118" s="32"/>
    </row>
    <row r="119" ht="15.75" customHeight="1">
      <c r="B119" s="32"/>
      <c r="C119" s="32"/>
      <c r="E119" s="32"/>
    </row>
    <row r="120" ht="15.75" customHeight="1">
      <c r="B120" s="32"/>
      <c r="C120" s="32"/>
      <c r="E120" s="32"/>
    </row>
    <row r="121" ht="15.75" customHeight="1">
      <c r="B121" s="32"/>
      <c r="C121" s="32"/>
      <c r="E121" s="32"/>
    </row>
    <row r="122" ht="15.75" customHeight="1">
      <c r="B122" s="32"/>
      <c r="C122" s="32"/>
      <c r="E122" s="32"/>
    </row>
    <row r="123" ht="15.75" customHeight="1">
      <c r="B123" s="32"/>
      <c r="C123" s="32"/>
      <c r="E123" s="32"/>
    </row>
    <row r="124" ht="15.75" customHeight="1">
      <c r="B124" s="32"/>
      <c r="C124" s="32"/>
      <c r="E124" s="32"/>
    </row>
    <row r="125" ht="15.75" customHeight="1">
      <c r="B125" s="32"/>
      <c r="C125" s="32"/>
      <c r="E125" s="32"/>
    </row>
    <row r="126" ht="15.75" customHeight="1">
      <c r="B126" s="32"/>
      <c r="C126" s="32"/>
      <c r="E126" s="32"/>
    </row>
    <row r="127" ht="15.75" customHeight="1">
      <c r="B127" s="32"/>
      <c r="C127" s="32"/>
      <c r="E127" s="32"/>
    </row>
    <row r="128" ht="15.75" customHeight="1">
      <c r="B128" s="32"/>
      <c r="C128" s="32"/>
      <c r="E128" s="32"/>
    </row>
    <row r="129" ht="15.75" customHeight="1">
      <c r="B129" s="32"/>
      <c r="C129" s="32"/>
      <c r="E129" s="32"/>
    </row>
    <row r="130" ht="15.75" customHeight="1">
      <c r="B130" s="32"/>
      <c r="C130" s="32"/>
      <c r="E130" s="32"/>
    </row>
    <row r="131" ht="15.75" customHeight="1">
      <c r="B131" s="32"/>
      <c r="C131" s="32"/>
      <c r="E131" s="32"/>
    </row>
    <row r="132" ht="15.75" customHeight="1">
      <c r="B132" s="32"/>
      <c r="C132" s="32"/>
      <c r="E132" s="32"/>
    </row>
    <row r="133" ht="15.75" customHeight="1">
      <c r="B133" s="32"/>
      <c r="C133" s="32"/>
      <c r="E133" s="32"/>
    </row>
    <row r="134" ht="15.75" customHeight="1">
      <c r="B134" s="32"/>
      <c r="C134" s="32"/>
      <c r="E134" s="32"/>
    </row>
    <row r="135" ht="15.75" customHeight="1">
      <c r="B135" s="32"/>
      <c r="C135" s="32"/>
      <c r="E135" s="32"/>
    </row>
    <row r="136" ht="15.75" customHeight="1">
      <c r="B136" s="32"/>
      <c r="C136" s="32"/>
      <c r="E136" s="32"/>
    </row>
    <row r="137" ht="15.75" customHeight="1">
      <c r="B137" s="32"/>
      <c r="C137" s="32"/>
      <c r="E137" s="32"/>
    </row>
    <row r="138" ht="15.75" customHeight="1">
      <c r="B138" s="32"/>
      <c r="C138" s="32"/>
      <c r="E138" s="32"/>
    </row>
    <row r="139" ht="15.75" customHeight="1">
      <c r="B139" s="32"/>
      <c r="C139" s="32"/>
      <c r="E139" s="32"/>
    </row>
    <row r="140" ht="15.75" customHeight="1">
      <c r="B140" s="32"/>
      <c r="C140" s="32"/>
      <c r="E140" s="32"/>
    </row>
    <row r="141" ht="15.75" customHeight="1">
      <c r="B141" s="32"/>
      <c r="C141" s="32"/>
      <c r="E141" s="32"/>
    </row>
    <row r="142" ht="15.75" customHeight="1">
      <c r="B142" s="32"/>
      <c r="C142" s="32"/>
      <c r="E142" s="32"/>
    </row>
    <row r="143" ht="15.75" customHeight="1">
      <c r="B143" s="32"/>
      <c r="C143" s="32"/>
      <c r="E143" s="32"/>
    </row>
    <row r="144" ht="15.75" customHeight="1">
      <c r="B144" s="32"/>
      <c r="C144" s="32"/>
      <c r="E144" s="32"/>
    </row>
    <row r="145" ht="15.75" customHeight="1">
      <c r="B145" s="32"/>
      <c r="C145" s="32"/>
      <c r="E145" s="32"/>
    </row>
    <row r="146" ht="15.75" customHeight="1">
      <c r="B146" s="32"/>
      <c r="C146" s="32"/>
      <c r="E146" s="32"/>
    </row>
    <row r="147" ht="15.75" customHeight="1">
      <c r="B147" s="32"/>
      <c r="C147" s="32"/>
      <c r="E147" s="32"/>
    </row>
    <row r="148" ht="15.75" customHeight="1">
      <c r="B148" s="32"/>
      <c r="C148" s="32"/>
      <c r="E148" s="32"/>
    </row>
    <row r="149" ht="15.75" customHeight="1">
      <c r="B149" s="32"/>
      <c r="C149" s="32"/>
      <c r="E149" s="32"/>
    </row>
    <row r="150" ht="15.75" customHeight="1">
      <c r="B150" s="32"/>
      <c r="C150" s="32"/>
      <c r="E150" s="32"/>
    </row>
    <row r="151" ht="15.75" customHeight="1">
      <c r="B151" s="32"/>
      <c r="C151" s="32"/>
      <c r="E151" s="32"/>
    </row>
    <row r="152" ht="15.75" customHeight="1">
      <c r="B152" s="32"/>
      <c r="C152" s="32"/>
      <c r="E152" s="32"/>
    </row>
    <row r="153" ht="15.75" customHeight="1">
      <c r="B153" s="32"/>
      <c r="C153" s="32"/>
      <c r="E153" s="32"/>
    </row>
    <row r="154" ht="15.75" customHeight="1">
      <c r="B154" s="32"/>
      <c r="C154" s="32"/>
      <c r="E154" s="32"/>
    </row>
    <row r="155" ht="15.75" customHeight="1">
      <c r="B155" s="32"/>
      <c r="C155" s="32"/>
      <c r="E155" s="32"/>
    </row>
    <row r="156" ht="15.75" customHeight="1">
      <c r="B156" s="32"/>
      <c r="C156" s="32"/>
      <c r="E156" s="32"/>
    </row>
    <row r="157" ht="15.75" customHeight="1">
      <c r="B157" s="32"/>
      <c r="C157" s="32"/>
      <c r="E157" s="32"/>
    </row>
    <row r="158" ht="15.75" customHeight="1">
      <c r="B158" s="32"/>
      <c r="C158" s="32"/>
      <c r="E158" s="32"/>
    </row>
    <row r="159" ht="15.75" customHeight="1">
      <c r="B159" s="32"/>
      <c r="C159" s="32"/>
      <c r="E159" s="32"/>
    </row>
    <row r="160" ht="15.75" customHeight="1">
      <c r="B160" s="32"/>
      <c r="C160" s="32"/>
      <c r="E160" s="32"/>
    </row>
    <row r="161" ht="15.75" customHeight="1">
      <c r="B161" s="32"/>
      <c r="C161" s="32"/>
      <c r="E161" s="32"/>
    </row>
    <row r="162" ht="15.75" customHeight="1">
      <c r="B162" s="32"/>
      <c r="C162" s="32"/>
      <c r="E162" s="32"/>
    </row>
    <row r="163" ht="15.75" customHeight="1">
      <c r="B163" s="32"/>
      <c r="C163" s="32"/>
      <c r="E163" s="32"/>
    </row>
    <row r="164" ht="15.75" customHeight="1">
      <c r="B164" s="32"/>
      <c r="C164" s="32"/>
      <c r="E164" s="32"/>
    </row>
    <row r="165" ht="15.75" customHeight="1">
      <c r="B165" s="32"/>
      <c r="C165" s="32"/>
      <c r="E165" s="32"/>
    </row>
    <row r="166" ht="15.75" customHeight="1">
      <c r="B166" s="32"/>
      <c r="C166" s="32"/>
      <c r="E166" s="32"/>
    </row>
    <row r="167" ht="15.75" customHeight="1">
      <c r="B167" s="32"/>
      <c r="C167" s="32"/>
      <c r="E167" s="32"/>
    </row>
    <row r="168" ht="15.75" customHeight="1">
      <c r="B168" s="32"/>
      <c r="C168" s="32"/>
      <c r="E168" s="32"/>
    </row>
    <row r="169" ht="15.75" customHeight="1">
      <c r="B169" s="32"/>
      <c r="C169" s="32"/>
      <c r="E169" s="32"/>
    </row>
    <row r="170" ht="15.75" customHeight="1">
      <c r="B170" s="32"/>
      <c r="C170" s="32"/>
      <c r="E170" s="32"/>
    </row>
    <row r="171" ht="15.75" customHeight="1">
      <c r="B171" s="32"/>
      <c r="C171" s="32"/>
      <c r="E171" s="32"/>
    </row>
    <row r="172" ht="15.75" customHeight="1">
      <c r="B172" s="32"/>
      <c r="C172" s="32"/>
      <c r="E172" s="32"/>
    </row>
    <row r="173" ht="15.75" customHeight="1">
      <c r="B173" s="32"/>
      <c r="C173" s="32"/>
      <c r="E173" s="32"/>
    </row>
    <row r="174" ht="15.75" customHeight="1">
      <c r="B174" s="32"/>
      <c r="C174" s="32"/>
      <c r="E174" s="32"/>
    </row>
    <row r="175" ht="15.75" customHeight="1">
      <c r="B175" s="32"/>
      <c r="C175" s="32"/>
      <c r="E175" s="32"/>
    </row>
    <row r="176" ht="15.75" customHeight="1">
      <c r="B176" s="32"/>
      <c r="C176" s="32"/>
      <c r="E176" s="32"/>
    </row>
    <row r="177" ht="15.75" customHeight="1">
      <c r="B177" s="32"/>
      <c r="C177" s="32"/>
      <c r="E177" s="32"/>
    </row>
    <row r="178" ht="15.75" customHeight="1">
      <c r="B178" s="32"/>
      <c r="C178" s="32"/>
      <c r="E178" s="32"/>
    </row>
    <row r="179" ht="15.75" customHeight="1">
      <c r="B179" s="32"/>
      <c r="C179" s="32"/>
      <c r="E179" s="32"/>
    </row>
    <row r="180" ht="15.75" customHeight="1">
      <c r="B180" s="32"/>
      <c r="C180" s="32"/>
      <c r="E180" s="32"/>
    </row>
    <row r="181" ht="15.75" customHeight="1">
      <c r="B181" s="32"/>
      <c r="C181" s="32"/>
      <c r="E181" s="32"/>
    </row>
    <row r="182" ht="15.75" customHeight="1">
      <c r="B182" s="32"/>
      <c r="C182" s="32"/>
      <c r="E182" s="32"/>
    </row>
    <row r="183" ht="15.75" customHeight="1">
      <c r="B183" s="32"/>
      <c r="C183" s="32"/>
      <c r="E183" s="32"/>
    </row>
    <row r="184" ht="15.75" customHeight="1">
      <c r="B184" s="32"/>
      <c r="C184" s="32"/>
      <c r="E184" s="32"/>
    </row>
    <row r="185" ht="15.75" customHeight="1">
      <c r="B185" s="32"/>
      <c r="C185" s="32"/>
      <c r="E185" s="32"/>
    </row>
    <row r="186" ht="15.75" customHeight="1">
      <c r="B186" s="32"/>
      <c r="C186" s="32"/>
      <c r="E186" s="32"/>
    </row>
    <row r="187" ht="15.75" customHeight="1">
      <c r="B187" s="32"/>
      <c r="C187" s="32"/>
      <c r="E187" s="32"/>
    </row>
    <row r="188" ht="15.75" customHeight="1">
      <c r="B188" s="32"/>
      <c r="C188" s="32"/>
      <c r="E188" s="32"/>
    </row>
    <row r="189" ht="15.75" customHeight="1">
      <c r="B189" s="32"/>
      <c r="C189" s="32"/>
      <c r="E189" s="32"/>
    </row>
    <row r="190" ht="15.75" customHeight="1">
      <c r="B190" s="32"/>
      <c r="C190" s="32"/>
      <c r="E190" s="32"/>
    </row>
    <row r="191" ht="15.75" customHeight="1">
      <c r="B191" s="32"/>
      <c r="C191" s="32"/>
      <c r="E191" s="32"/>
    </row>
    <row r="192" ht="15.75" customHeight="1">
      <c r="B192" s="32"/>
      <c r="C192" s="32"/>
      <c r="E192" s="32"/>
    </row>
    <row r="193" ht="15.75" customHeight="1">
      <c r="B193" s="32"/>
      <c r="C193" s="32"/>
      <c r="E193" s="32"/>
    </row>
    <row r="194" ht="15.75" customHeight="1">
      <c r="B194" s="32"/>
      <c r="C194" s="32"/>
      <c r="E194" s="32"/>
    </row>
    <row r="195" ht="15.75" customHeight="1">
      <c r="B195" s="32"/>
      <c r="C195" s="32"/>
      <c r="E195" s="32"/>
    </row>
    <row r="196" ht="15.75" customHeight="1">
      <c r="B196" s="32"/>
      <c r="C196" s="32"/>
      <c r="E196" s="32"/>
    </row>
    <row r="197" ht="15.75" customHeight="1">
      <c r="B197" s="32"/>
      <c r="C197" s="32"/>
      <c r="E197" s="32"/>
    </row>
    <row r="198" ht="15.75" customHeight="1">
      <c r="B198" s="32"/>
      <c r="C198" s="32"/>
      <c r="E198" s="32"/>
    </row>
    <row r="199" ht="15.75" customHeight="1">
      <c r="B199" s="32"/>
      <c r="C199" s="32"/>
      <c r="E199" s="32"/>
    </row>
    <row r="200" ht="15.75" customHeight="1">
      <c r="B200" s="32"/>
      <c r="C200" s="32"/>
      <c r="E200" s="32"/>
    </row>
    <row r="201" ht="15.75" customHeight="1">
      <c r="B201" s="32"/>
      <c r="C201" s="32"/>
      <c r="E201" s="32"/>
    </row>
    <row r="202" ht="15.75" customHeight="1">
      <c r="B202" s="32"/>
      <c r="C202" s="32"/>
      <c r="E202" s="32"/>
    </row>
    <row r="203" ht="15.75" customHeight="1">
      <c r="B203" s="32"/>
      <c r="C203" s="32"/>
      <c r="E203" s="32"/>
    </row>
    <row r="204" ht="15.75" customHeight="1">
      <c r="B204" s="32"/>
      <c r="C204" s="32"/>
      <c r="E204" s="32"/>
    </row>
    <row r="205" ht="15.75" customHeight="1">
      <c r="B205" s="32"/>
      <c r="C205" s="32"/>
      <c r="E205" s="32"/>
    </row>
    <row r="206" ht="15.75" customHeight="1">
      <c r="B206" s="32"/>
      <c r="C206" s="32"/>
      <c r="E206" s="32"/>
    </row>
    <row r="207" ht="15.75" customHeight="1">
      <c r="B207" s="32"/>
      <c r="C207" s="32"/>
      <c r="E207" s="32"/>
    </row>
    <row r="208" ht="15.75" customHeight="1">
      <c r="B208" s="32"/>
      <c r="C208" s="32"/>
      <c r="E208" s="32"/>
    </row>
    <row r="209" ht="15.75" customHeight="1">
      <c r="B209" s="32"/>
      <c r="C209" s="32"/>
      <c r="E209" s="32"/>
    </row>
    <row r="210" ht="15.75" customHeight="1">
      <c r="B210" s="32"/>
      <c r="C210" s="32"/>
      <c r="E210" s="32"/>
    </row>
    <row r="211" ht="15.75" customHeight="1">
      <c r="B211" s="32"/>
      <c r="C211" s="32"/>
      <c r="E211" s="32"/>
    </row>
    <row r="212" ht="15.75" customHeight="1">
      <c r="B212" s="32"/>
      <c r="C212" s="32"/>
      <c r="E212" s="32"/>
    </row>
    <row r="213" ht="15.75" customHeight="1">
      <c r="B213" s="32"/>
      <c r="C213" s="32"/>
      <c r="E213" s="32"/>
    </row>
    <row r="214" ht="15.75" customHeight="1">
      <c r="B214" s="32"/>
      <c r="C214" s="32"/>
      <c r="E214" s="32"/>
    </row>
    <row r="215" ht="15.75" customHeight="1">
      <c r="B215" s="32"/>
      <c r="C215" s="32"/>
      <c r="E215" s="32"/>
    </row>
    <row r="216" ht="15.75" customHeight="1">
      <c r="B216" s="32"/>
      <c r="C216" s="32"/>
      <c r="E216" s="32"/>
    </row>
    <row r="217" ht="15.75" customHeight="1">
      <c r="B217" s="32"/>
      <c r="C217" s="32"/>
      <c r="E217" s="32"/>
    </row>
    <row r="218" ht="15.75" customHeight="1">
      <c r="B218" s="32"/>
      <c r="C218" s="32"/>
      <c r="E218" s="32"/>
    </row>
    <row r="219" ht="15.75" customHeight="1">
      <c r="B219" s="32"/>
      <c r="C219" s="32"/>
      <c r="E219" s="32"/>
    </row>
    <row r="220" ht="15.75" customHeight="1">
      <c r="B220" s="32"/>
      <c r="C220" s="32"/>
      <c r="E220" s="32"/>
    </row>
    <row r="221" ht="15.75" customHeight="1">
      <c r="B221" s="32"/>
      <c r="C221" s="32"/>
      <c r="E221" s="32"/>
    </row>
    <row r="222" ht="15.75" customHeight="1">
      <c r="B222" s="32"/>
      <c r="C222" s="32"/>
      <c r="E222" s="32"/>
    </row>
    <row r="223" ht="15.75" customHeight="1">
      <c r="B223" s="32"/>
      <c r="C223" s="32"/>
      <c r="E223" s="32"/>
    </row>
    <row r="224" ht="15.75" customHeight="1">
      <c r="B224" s="32"/>
      <c r="C224" s="32"/>
      <c r="E224" s="32"/>
    </row>
    <row r="225" ht="15.75" customHeight="1">
      <c r="B225" s="32"/>
      <c r="C225" s="32"/>
      <c r="E225" s="32"/>
    </row>
    <row r="226" ht="15.75" customHeight="1">
      <c r="B226" s="32"/>
      <c r="C226" s="32"/>
      <c r="E226" s="32"/>
    </row>
    <row r="227" ht="15.75" customHeight="1">
      <c r="B227" s="32"/>
      <c r="C227" s="32"/>
      <c r="E227" s="32"/>
    </row>
    <row r="228" ht="15.75" customHeight="1">
      <c r="B228" s="32"/>
      <c r="C228" s="32"/>
      <c r="E228" s="32"/>
    </row>
    <row r="229" ht="15.75" customHeight="1">
      <c r="B229" s="32"/>
      <c r="C229" s="32"/>
      <c r="E229" s="32"/>
    </row>
    <row r="230" ht="15.75" customHeight="1">
      <c r="B230" s="32"/>
      <c r="C230" s="32"/>
      <c r="E230" s="32"/>
    </row>
    <row r="231" ht="15.75" customHeight="1">
      <c r="B231" s="32"/>
      <c r="C231" s="32"/>
      <c r="E231" s="32"/>
    </row>
    <row r="232" ht="15.75" customHeight="1">
      <c r="B232" s="32"/>
      <c r="C232" s="32"/>
      <c r="E232" s="32"/>
    </row>
    <row r="233" ht="15.75" customHeight="1">
      <c r="B233" s="32"/>
      <c r="C233" s="32"/>
      <c r="E233" s="32"/>
    </row>
    <row r="234" ht="15.75" customHeight="1">
      <c r="B234" s="32"/>
      <c r="C234" s="32"/>
      <c r="E234" s="32"/>
    </row>
    <row r="235" ht="15.75" customHeight="1">
      <c r="B235" s="32"/>
      <c r="C235" s="32"/>
      <c r="E235" s="32"/>
    </row>
    <row r="236" ht="15.75" customHeight="1">
      <c r="B236" s="32"/>
      <c r="C236" s="32"/>
      <c r="E236" s="32"/>
    </row>
    <row r="237" ht="15.75" customHeight="1">
      <c r="B237" s="32"/>
      <c r="C237" s="32"/>
      <c r="E237" s="32"/>
    </row>
    <row r="238" ht="15.75" customHeight="1">
      <c r="B238" s="32"/>
      <c r="C238" s="32"/>
      <c r="E238" s="32"/>
    </row>
    <row r="239" ht="15.75" customHeight="1">
      <c r="B239" s="32"/>
      <c r="C239" s="32"/>
      <c r="E239" s="32"/>
    </row>
    <row r="240" ht="15.75" customHeight="1">
      <c r="B240" s="32"/>
      <c r="C240" s="32"/>
      <c r="E240" s="32"/>
    </row>
    <row r="241" ht="15.75" customHeight="1">
      <c r="B241" s="32"/>
      <c r="C241" s="32"/>
      <c r="E241" s="32"/>
    </row>
    <row r="242" ht="15.75" customHeight="1">
      <c r="B242" s="32"/>
      <c r="C242" s="32"/>
      <c r="E242" s="32"/>
    </row>
    <row r="243" ht="15.75" customHeight="1">
      <c r="B243" s="32"/>
      <c r="C243" s="32"/>
      <c r="E243" s="32"/>
    </row>
    <row r="244" ht="15.75" customHeight="1">
      <c r="B244" s="32"/>
      <c r="C244" s="32"/>
      <c r="E244" s="32"/>
    </row>
    <row r="245" ht="15.75" customHeight="1">
      <c r="B245" s="32"/>
      <c r="C245" s="32"/>
      <c r="E245" s="32"/>
    </row>
    <row r="246" ht="15.75" customHeight="1">
      <c r="B246" s="32"/>
      <c r="C246" s="32"/>
      <c r="E246" s="32"/>
    </row>
    <row r="247" ht="15.75" customHeight="1">
      <c r="B247" s="32"/>
      <c r="C247" s="32"/>
      <c r="E247" s="32"/>
    </row>
    <row r="248" ht="15.75" customHeight="1">
      <c r="B248" s="32"/>
      <c r="C248" s="32"/>
      <c r="E248" s="32"/>
    </row>
    <row r="249" ht="15.75" customHeight="1">
      <c r="B249" s="32"/>
      <c r="C249" s="32"/>
      <c r="E249" s="32"/>
    </row>
    <row r="250" ht="15.75" customHeight="1">
      <c r="B250" s="32"/>
      <c r="C250" s="32"/>
      <c r="E250" s="32"/>
    </row>
    <row r="251" ht="15.75" customHeight="1">
      <c r="B251" s="32"/>
      <c r="C251" s="32"/>
      <c r="E251" s="32"/>
    </row>
    <row r="252" ht="15.75" customHeight="1">
      <c r="B252" s="32"/>
      <c r="C252" s="32"/>
      <c r="E252" s="32"/>
    </row>
    <row r="253" ht="15.75" customHeight="1">
      <c r="B253" s="32"/>
      <c r="C253" s="32"/>
      <c r="E253" s="32"/>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9.71"/>
    <col customWidth="1" hidden="1" min="3" max="3" width="14.71"/>
    <col customWidth="1" min="4" max="4" width="17.57"/>
    <col customWidth="1" hidden="1" min="5" max="5" width="12.0"/>
    <col customWidth="1" min="6" max="6" width="18.71"/>
    <col customWidth="1" hidden="1" min="7" max="7" width="16.0"/>
    <col customWidth="1" min="8" max="8" width="22.29"/>
    <col customWidth="1" hidden="1" min="9" max="9" width="11.0"/>
    <col customWidth="1" min="10" max="10" width="11.43"/>
    <col customWidth="1" min="11" max="11" width="14.57"/>
    <col customWidth="1" hidden="1" min="12" max="12" width="10.57"/>
    <col customWidth="1" min="13" max="13" width="16.0"/>
    <col customWidth="1" min="14" max="14" width="9.43"/>
    <col customWidth="1" min="15" max="15" width="16.43"/>
    <col customWidth="1" min="16" max="16" width="9.86"/>
    <col customWidth="1" hidden="1" min="17" max="17" width="11.0"/>
    <col customWidth="1" min="18" max="18" width="16.71"/>
    <col customWidth="1" hidden="1" min="19" max="19" width="9.29"/>
    <col customWidth="1" min="20" max="20" width="16.29"/>
    <col customWidth="1" hidden="1" min="21" max="21" width="16.71"/>
    <col customWidth="1" min="22" max="22" width="23.57"/>
    <col customWidth="1" hidden="1" min="23" max="23" width="12.14"/>
    <col customWidth="1" min="24" max="24" width="19.14"/>
    <col customWidth="1" min="25" max="25" width="9.29"/>
    <col customWidth="1" min="26" max="26" width="20.0"/>
    <col customWidth="1" min="27" max="27" width="9.86"/>
    <col customWidth="1" min="28" max="28" width="10.0"/>
    <col customWidth="1" min="29" max="29" width="6.43"/>
    <col customWidth="1" min="30" max="30" width="16.0"/>
    <col customWidth="1" min="31" max="31" width="13.71"/>
    <col customWidth="1" min="32" max="33" width="8.71"/>
  </cols>
  <sheetData>
    <row r="1">
      <c r="A1" s="7" t="s">
        <v>3</v>
      </c>
      <c r="B1" s="7" t="s">
        <v>6</v>
      </c>
      <c r="C1" s="7" t="s">
        <v>8</v>
      </c>
      <c r="D1" s="7" t="s">
        <v>9</v>
      </c>
      <c r="E1" s="7" t="s">
        <v>10</v>
      </c>
      <c r="F1" s="12" t="s">
        <v>12</v>
      </c>
      <c r="G1" s="7" t="s">
        <v>21</v>
      </c>
      <c r="H1" s="7" t="s">
        <v>23</v>
      </c>
      <c r="I1" s="7" t="s">
        <v>25</v>
      </c>
      <c r="J1" s="7" t="s">
        <v>27</v>
      </c>
      <c r="K1" s="7" t="s">
        <v>28</v>
      </c>
      <c r="L1" s="7" t="s">
        <v>29</v>
      </c>
      <c r="M1" s="7" t="s">
        <v>30</v>
      </c>
      <c r="N1" s="7" t="s">
        <v>32</v>
      </c>
      <c r="O1" s="7" t="s">
        <v>35</v>
      </c>
      <c r="P1" s="7" t="s">
        <v>36</v>
      </c>
      <c r="Q1" s="7" t="s">
        <v>40</v>
      </c>
      <c r="R1" s="7" t="s">
        <v>43</v>
      </c>
      <c r="S1" s="7" t="s">
        <v>45</v>
      </c>
      <c r="T1" s="7" t="s">
        <v>47</v>
      </c>
      <c r="U1" s="7" t="s">
        <v>1</v>
      </c>
      <c r="V1" s="12" t="s">
        <v>2</v>
      </c>
      <c r="W1" s="7" t="s">
        <v>50</v>
      </c>
      <c r="X1" s="12" t="s">
        <v>52</v>
      </c>
      <c r="Y1" s="12" t="s">
        <v>11</v>
      </c>
      <c r="Z1" s="19" t="s">
        <v>56</v>
      </c>
      <c r="AA1" s="22" t="s">
        <v>17</v>
      </c>
      <c r="AB1" s="19" t="s">
        <v>59</v>
      </c>
      <c r="AC1" s="22" t="s">
        <v>14</v>
      </c>
      <c r="AD1" s="22" t="s">
        <v>61</v>
      </c>
      <c r="AE1" s="19" t="s">
        <v>20</v>
      </c>
      <c r="AF1" s="24"/>
      <c r="AG1" s="24"/>
    </row>
    <row r="2" ht="14.25" customHeight="1">
      <c r="A2" s="26">
        <v>1000.0</v>
      </c>
      <c r="B2" s="26" t="str">
        <f t="shared" ref="B2:B6" si="1">if(countif($A$2:$A1000,A2)&gt;1,"Duplicates","Ok")</f>
        <v>Ok</v>
      </c>
      <c r="C2" s="26" t="s">
        <v>65</v>
      </c>
      <c r="D2" s="31">
        <v>45698.0</v>
      </c>
      <c r="E2" s="26" t="s">
        <v>66</v>
      </c>
      <c r="F2" s="26" t="str">
        <f t="shared" ref="F2:F81" si="2">if(E2:E1000="","Unknown",E2:E1000)</f>
        <v>C004</v>
      </c>
      <c r="G2" s="26" t="s">
        <v>68</v>
      </c>
      <c r="H2" s="26" t="str">
        <f t="array" ref="H2:H81">PROPER(LOWER(TRIM(G2:G81)))</f>
        <v>Ana Popescu</v>
      </c>
      <c r="I2" s="26" t="s">
        <v>19</v>
      </c>
      <c r="J2" s="26" t="str">
        <f t="array" ref="J2">_xlfn.XLOOKUP(I2,Lookup!$D$2:$D$11,Lookup!$E$2:$E$11,I2)</f>
        <v>Cluj-Napoca</v>
      </c>
      <c r="K2" s="26" t="s">
        <v>44</v>
      </c>
      <c r="L2" s="26" t="s">
        <v>42</v>
      </c>
      <c r="M2" s="26" t="str">
        <f>VLOOKUP(L2,Lookup!G:H,2,FALSE)</f>
        <v>Electronics</v>
      </c>
      <c r="N2" s="26">
        <v>5.0</v>
      </c>
      <c r="O2" s="26" t="str">
        <f t="shared" ref="O2:O81" si="3">IF(N2&lt;0,"Negative Quantity",IF(N2=0,"Zero Quantity","OK"))</f>
        <v>OK</v>
      </c>
      <c r="P2" s="26">
        <v>950.0</v>
      </c>
      <c r="Q2" s="26">
        <f t="shared" ref="Q2:Q81" si="4">ABS(P2)</f>
        <v>950</v>
      </c>
      <c r="R2" s="26" t="str">
        <f t="shared" ref="R2:R81" si="5">IF(P2&lt;0,"Negative Quantity",IF(P2&gt;=0,"OK"))</f>
        <v>OK</v>
      </c>
      <c r="S2" s="26">
        <v>120.0</v>
      </c>
      <c r="T2" s="26">
        <f t="shared" ref="T2:T81" si="6">if(S2:S1000="","0",S2:S1000)</f>
        <v>120</v>
      </c>
      <c r="U2" s="26" t="s">
        <v>38</v>
      </c>
      <c r="V2" s="26" t="str">
        <f>IF(U2="","Unknown",IFERROR(VLOOKUP(U2,Lookup!$A$2:$B$6,2,FALSE),U2))</f>
        <v>Bank Transfer</v>
      </c>
      <c r="W2" s="26" t="s">
        <v>78</v>
      </c>
      <c r="X2" s="26" t="str">
        <f t="shared" ref="X2:X81" si="7">if(W2:W1000="","Unknown",W2:W1000)</f>
        <v>Andrei</v>
      </c>
      <c r="Y2" s="52">
        <f t="shared" ref="Y2:Y81" si="8">(N2*Q2)-T2</f>
        <v>4630</v>
      </c>
      <c r="Z2" s="52" t="str">
        <f t="shared" ref="Z2:Z81" si="9">IF(N2&lt;0,"Possible Return",IF(N2=0,"Invalid - Zero Quantity",IF(O2&lt;0,"Invalid - Negative Price","Sale")))</f>
        <v>Sale</v>
      </c>
      <c r="AA2" s="52">
        <f t="shared" ref="AA2:AA81" si="10">N2*AB2</f>
        <v>3325</v>
      </c>
      <c r="AB2" s="52">
        <f t="array" ref="AB2">_xlfn.XLOOKUP(K2,Products!$B$2:$B$5,Products!$E$2:$E$5)</f>
        <v>665</v>
      </c>
      <c r="AC2" s="52">
        <f t="shared" ref="AC2:AC81" si="11">Y2-AA2</f>
        <v>1305</v>
      </c>
      <c r="AD2" s="52">
        <f t="shared" ref="AD2:AD81" si="12">IF(N2&lt;=0,"",AC2)</f>
        <v>1305</v>
      </c>
      <c r="AE2" s="53">
        <f t="shared" ref="AE2:AE81" si="13">IF(N2&lt;=0,"",IFERROR(AC2/Y2,0))</f>
        <v>0.2818574514</v>
      </c>
      <c r="AF2" s="54"/>
      <c r="AG2" s="54"/>
    </row>
    <row r="3" ht="14.25" customHeight="1">
      <c r="A3" s="26">
        <v>1001.0</v>
      </c>
      <c r="B3" s="26" t="str">
        <f t="shared" si="1"/>
        <v>Ok</v>
      </c>
      <c r="C3" s="26" t="s">
        <v>84</v>
      </c>
      <c r="D3" s="31">
        <v>45675.0</v>
      </c>
      <c r="E3" s="26" t="s">
        <v>85</v>
      </c>
      <c r="F3" s="26" t="str">
        <f t="shared" si="2"/>
        <v>C010</v>
      </c>
      <c r="G3" s="26" t="s">
        <v>86</v>
      </c>
      <c r="H3" s="26" t="s">
        <v>97</v>
      </c>
      <c r="I3" s="26" t="s">
        <v>31</v>
      </c>
      <c r="J3" s="26" t="str">
        <f t="array" ref="J3">_xlfn.XLOOKUP(I3,Lookup!$D$2:$D$11,Lookup!$E$2:$E$11,I3)</f>
        <v>Iasi</v>
      </c>
      <c r="K3" s="26" t="s">
        <v>34</v>
      </c>
      <c r="L3" s="26" t="s">
        <v>33</v>
      </c>
      <c r="M3" s="26" t="str">
        <f>VLOOKUP(L3,Lookup!G:H,2,FALSE)</f>
        <v>Electronics</v>
      </c>
      <c r="N3" s="26">
        <v>-1.0</v>
      </c>
      <c r="O3" s="26" t="str">
        <f t="shared" si="3"/>
        <v>Negative Quantity</v>
      </c>
      <c r="P3" s="26">
        <v>120.0</v>
      </c>
      <c r="Q3" s="26">
        <f t="shared" si="4"/>
        <v>120</v>
      </c>
      <c r="R3" s="26" t="str">
        <f t="shared" si="5"/>
        <v>OK</v>
      </c>
      <c r="S3" s="26">
        <v>120.0</v>
      </c>
      <c r="T3" s="26">
        <f t="shared" si="6"/>
        <v>120</v>
      </c>
      <c r="U3" s="26" t="s">
        <v>37</v>
      </c>
      <c r="V3" s="26" t="str">
        <f>IF(U3="","Unknown",IFERROR(VLOOKUP(U3,Lookup!$A$2:$B$6,2,FALSE),U3))</f>
        <v>Bank Transfer</v>
      </c>
      <c r="W3" s="26" t="s">
        <v>80</v>
      </c>
      <c r="X3" s="26" t="str">
        <f t="shared" si="7"/>
        <v>Maria</v>
      </c>
      <c r="Y3" s="52">
        <f t="shared" si="8"/>
        <v>-240</v>
      </c>
      <c r="Z3" s="52" t="str">
        <f t="shared" si="9"/>
        <v>Possible Return</v>
      </c>
      <c r="AA3" s="52">
        <f t="shared" si="10"/>
        <v>-84</v>
      </c>
      <c r="AB3" s="52">
        <f t="array" ref="AB3">_xlfn.XLOOKUP(K3,Products!$B$2:$B$5,Products!$E$2:$E$5)</f>
        <v>84</v>
      </c>
      <c r="AC3" s="52">
        <f t="shared" si="11"/>
        <v>-156</v>
      </c>
      <c r="AD3" s="52" t="str">
        <f t="shared" si="12"/>
        <v/>
      </c>
      <c r="AE3" s="53" t="str">
        <f t="shared" si="13"/>
        <v/>
      </c>
      <c r="AF3" s="54"/>
      <c r="AG3" s="54"/>
    </row>
    <row r="4" ht="14.25" customHeight="1">
      <c r="A4" s="26">
        <v>1002.0</v>
      </c>
      <c r="B4" s="26" t="str">
        <f t="shared" si="1"/>
        <v>Ok</v>
      </c>
      <c r="C4" s="26" t="s">
        <v>87</v>
      </c>
      <c r="D4" s="31">
        <v>45665.0</v>
      </c>
      <c r="E4" s="26" t="s">
        <v>88</v>
      </c>
      <c r="F4" s="26" t="str">
        <f t="shared" si="2"/>
        <v>C012</v>
      </c>
      <c r="G4" s="26" t="s">
        <v>89</v>
      </c>
      <c r="H4" s="26" t="s">
        <v>97</v>
      </c>
      <c r="I4" s="26" t="s">
        <v>39</v>
      </c>
      <c r="J4" s="26" t="str">
        <f t="array" ref="J4">_xlfn.XLOOKUP(I4,Lookup!$D$2:$D$11,Lookup!$E$2:$E$11,I4)</f>
        <v>Bucuresti</v>
      </c>
      <c r="K4" s="26" t="s">
        <v>34</v>
      </c>
      <c r="L4" s="26" t="s">
        <v>33</v>
      </c>
      <c r="M4" s="26" t="str">
        <f>VLOOKUP(L4,Lookup!G:H,2,FALSE)</f>
        <v>Electronics</v>
      </c>
      <c r="N4" s="26">
        <v>25.0</v>
      </c>
      <c r="O4" s="26" t="str">
        <f t="shared" si="3"/>
        <v>OK</v>
      </c>
      <c r="P4" s="26">
        <v>120.0</v>
      </c>
      <c r="Q4" s="26">
        <f t="shared" si="4"/>
        <v>120</v>
      </c>
      <c r="R4" s="26" t="str">
        <f t="shared" si="5"/>
        <v>OK</v>
      </c>
      <c r="S4" s="26">
        <v>120.0</v>
      </c>
      <c r="T4" s="26">
        <f t="shared" si="6"/>
        <v>120</v>
      </c>
      <c r="U4" s="26" t="s">
        <v>38</v>
      </c>
      <c r="V4" s="26" t="str">
        <f>IF(U4="","Unknown",IFERROR(VLOOKUP(U4,Lookup!$A$2:$B$6,2,FALSE),U4))</f>
        <v>Bank Transfer</v>
      </c>
      <c r="W4" s="26"/>
      <c r="X4" s="26" t="str">
        <f t="shared" si="7"/>
        <v>Unknown</v>
      </c>
      <c r="Y4" s="52">
        <f t="shared" si="8"/>
        <v>2880</v>
      </c>
      <c r="Z4" s="52" t="str">
        <f t="shared" si="9"/>
        <v>Sale</v>
      </c>
      <c r="AA4" s="52">
        <f t="shared" si="10"/>
        <v>2100</v>
      </c>
      <c r="AB4" s="52">
        <f t="array" ref="AB4">_xlfn.XLOOKUP(K4,Products!$B$2:$B$5,Products!$E$2:$E$5)</f>
        <v>84</v>
      </c>
      <c r="AC4" s="52">
        <f t="shared" si="11"/>
        <v>780</v>
      </c>
      <c r="AD4" s="52">
        <f t="shared" si="12"/>
        <v>780</v>
      </c>
      <c r="AE4" s="53">
        <f t="shared" si="13"/>
        <v>0.2708333333</v>
      </c>
      <c r="AF4" s="54"/>
      <c r="AG4" s="54"/>
    </row>
    <row r="5" ht="14.25" customHeight="1">
      <c r="A5" s="26">
        <v>1003.0</v>
      </c>
      <c r="B5" s="26" t="str">
        <f t="shared" si="1"/>
        <v>Ok</v>
      </c>
      <c r="C5" s="26" t="s">
        <v>91</v>
      </c>
      <c r="D5" s="31">
        <v>45682.0</v>
      </c>
      <c r="E5" s="26" t="s">
        <v>92</v>
      </c>
      <c r="F5" s="26" t="str">
        <f t="shared" si="2"/>
        <v>C002</v>
      </c>
      <c r="G5" s="26" t="s">
        <v>93</v>
      </c>
      <c r="H5" s="26" t="s">
        <v>94</v>
      </c>
      <c r="I5" s="26" t="s">
        <v>48</v>
      </c>
      <c r="J5" s="26" t="str">
        <f t="array" ref="J5">_xlfn.XLOOKUP(I5,Lookup!$D$2:$D$11,Lookup!$E$2:$E$11,I5)</f>
        <v>Bucuresti</v>
      </c>
      <c r="K5" s="26" t="s">
        <v>26</v>
      </c>
      <c r="L5" s="26" t="s">
        <v>24</v>
      </c>
      <c r="M5" s="26" t="str">
        <f>VLOOKUP(L5,Lookup!G:H,2,FALSE)</f>
        <v>Electronics</v>
      </c>
      <c r="N5" s="26">
        <v>-1.0</v>
      </c>
      <c r="O5" s="26" t="str">
        <f t="shared" si="3"/>
        <v>Negative Quantity</v>
      </c>
      <c r="P5" s="26">
        <v>3500.0</v>
      </c>
      <c r="Q5" s="26">
        <f t="shared" si="4"/>
        <v>3500</v>
      </c>
      <c r="R5" s="26" t="str">
        <f t="shared" si="5"/>
        <v>OK</v>
      </c>
      <c r="S5" s="26">
        <v>5.0</v>
      </c>
      <c r="T5" s="26">
        <f t="shared" si="6"/>
        <v>5</v>
      </c>
      <c r="U5" s="26" t="s">
        <v>53</v>
      </c>
      <c r="V5" s="26" t="str">
        <f>IF(U5="","Unknown",IFERROR(VLOOKUP(U5,Lookup!$A$2:$B$6,2,FALSE),U5))</f>
        <v>Cash</v>
      </c>
      <c r="W5" s="26" t="s">
        <v>79</v>
      </c>
      <c r="X5" s="26" t="str">
        <f t="shared" si="7"/>
        <v>George</v>
      </c>
      <c r="Y5" s="52">
        <f t="shared" si="8"/>
        <v>-3505</v>
      </c>
      <c r="Z5" s="52" t="str">
        <f t="shared" si="9"/>
        <v>Possible Return</v>
      </c>
      <c r="AA5" s="52">
        <f t="shared" si="10"/>
        <v>-2450</v>
      </c>
      <c r="AB5" s="52">
        <f t="array" ref="AB5">_xlfn.XLOOKUP(K5,Products!$B$2:$B$5,Products!$E$2:$E$5)</f>
        <v>2450</v>
      </c>
      <c r="AC5" s="52">
        <f t="shared" si="11"/>
        <v>-1055</v>
      </c>
      <c r="AD5" s="52" t="str">
        <f t="shared" si="12"/>
        <v/>
      </c>
      <c r="AE5" s="53" t="str">
        <f t="shared" si="13"/>
        <v/>
      </c>
      <c r="AF5" s="54"/>
      <c r="AG5" s="54"/>
    </row>
    <row r="6" ht="14.25" customHeight="1">
      <c r="A6" s="26">
        <v>1004.0</v>
      </c>
      <c r="B6" s="26" t="str">
        <f t="shared" si="1"/>
        <v>Ok</v>
      </c>
      <c r="C6" s="26" t="s">
        <v>96</v>
      </c>
      <c r="D6" s="31">
        <v>45706.0</v>
      </c>
      <c r="E6" s="26" t="s">
        <v>98</v>
      </c>
      <c r="F6" s="26" t="str">
        <f t="shared" si="2"/>
        <v>C011</v>
      </c>
      <c r="G6" s="26" t="s">
        <v>99</v>
      </c>
      <c r="H6" s="26" t="s">
        <v>95</v>
      </c>
      <c r="I6" s="26" t="s">
        <v>41</v>
      </c>
      <c r="J6" s="26" t="str">
        <f t="array" ref="J6">_xlfn.XLOOKUP(I6,Lookup!$D$2:$D$11,Lookup!$E$2:$E$11,I6)</f>
        <v>Bucuresti</v>
      </c>
      <c r="K6" s="26" t="s">
        <v>26</v>
      </c>
      <c r="L6" s="26" t="s">
        <v>24</v>
      </c>
      <c r="M6" s="26" t="str">
        <f>VLOOKUP(L6,Lookup!G:H,2,FALSE)</f>
        <v>Electronics</v>
      </c>
      <c r="N6" s="26">
        <v>25.0</v>
      </c>
      <c r="O6" s="26" t="str">
        <f t="shared" si="3"/>
        <v>OK</v>
      </c>
      <c r="P6" s="26">
        <v>3500.0</v>
      </c>
      <c r="Q6" s="26">
        <f t="shared" si="4"/>
        <v>3500</v>
      </c>
      <c r="R6" s="26" t="str">
        <f t="shared" si="5"/>
        <v>OK</v>
      </c>
      <c r="S6" s="26">
        <v>0.0</v>
      </c>
      <c r="T6" s="26">
        <f t="shared" si="6"/>
        <v>0</v>
      </c>
      <c r="U6" s="26"/>
      <c r="V6" s="26" t="str">
        <f>IF(U6="","Unknown",IFERROR(VLOOKUP(U6,Lookup!$A$2:$B$6,2,FALSE),U6))</f>
        <v>Unknown</v>
      </c>
      <c r="W6" s="26" t="s">
        <v>79</v>
      </c>
      <c r="X6" s="26" t="str">
        <f t="shared" si="7"/>
        <v>George</v>
      </c>
      <c r="Y6" s="52">
        <f t="shared" si="8"/>
        <v>87500</v>
      </c>
      <c r="Z6" s="52" t="str">
        <f t="shared" si="9"/>
        <v>Sale</v>
      </c>
      <c r="AA6" s="52">
        <f t="shared" si="10"/>
        <v>61250</v>
      </c>
      <c r="AB6" s="52">
        <f t="array" ref="AB6">_xlfn.XLOOKUP(K6,Products!$B$2:$B$5,Products!$E$2:$E$5)</f>
        <v>2450</v>
      </c>
      <c r="AC6" s="52">
        <f t="shared" si="11"/>
        <v>26250</v>
      </c>
      <c r="AD6" s="52">
        <f t="shared" si="12"/>
        <v>26250</v>
      </c>
      <c r="AE6" s="53">
        <f t="shared" si="13"/>
        <v>0.3</v>
      </c>
      <c r="AF6" s="54"/>
      <c r="AG6" s="54"/>
    </row>
    <row r="7" ht="14.25" customHeight="1">
      <c r="A7" s="26">
        <v>1005.0</v>
      </c>
      <c r="B7" s="52" t="s">
        <v>226</v>
      </c>
      <c r="C7" s="26" t="s">
        <v>101</v>
      </c>
      <c r="D7" s="31">
        <v>45672.0</v>
      </c>
      <c r="E7" s="26" t="s">
        <v>85</v>
      </c>
      <c r="F7" s="26" t="str">
        <f t="shared" si="2"/>
        <v>C010</v>
      </c>
      <c r="G7" s="26" t="s">
        <v>102</v>
      </c>
      <c r="H7" s="26" t="s">
        <v>95</v>
      </c>
      <c r="I7" s="26" t="s">
        <v>19</v>
      </c>
      <c r="J7" s="26" t="str">
        <f t="array" ref="J7">_xlfn.XLOOKUP(I7,Lookup!$D$2:$D$11,Lookup!$E$2:$E$11,I7)</f>
        <v>Cluj-Napoca</v>
      </c>
      <c r="K7" s="26" t="s">
        <v>26</v>
      </c>
      <c r="L7" s="26" t="s">
        <v>24</v>
      </c>
      <c r="M7" s="26" t="str">
        <f>VLOOKUP(L7,Lookup!G:H,2,FALSE)</f>
        <v>Electronics</v>
      </c>
      <c r="N7" s="26">
        <v>25.0</v>
      </c>
      <c r="O7" s="26" t="str">
        <f t="shared" si="3"/>
        <v>OK</v>
      </c>
      <c r="P7" s="26">
        <v>3500.0</v>
      </c>
      <c r="Q7" s="26">
        <f t="shared" si="4"/>
        <v>3500</v>
      </c>
      <c r="R7" s="26" t="str">
        <f t="shared" si="5"/>
        <v>OK</v>
      </c>
      <c r="S7" s="26">
        <v>120.0</v>
      </c>
      <c r="T7" s="26">
        <f t="shared" si="6"/>
        <v>120</v>
      </c>
      <c r="U7" s="26"/>
      <c r="V7" s="26" t="str">
        <f>IF(U7="","Unknown",IFERROR(VLOOKUP(U7,Lookup!$A$2:$B$6,2,FALSE),U7))</f>
        <v>Unknown</v>
      </c>
      <c r="W7" s="26" t="s">
        <v>80</v>
      </c>
      <c r="X7" s="26" t="str">
        <f t="shared" si="7"/>
        <v>Maria</v>
      </c>
      <c r="Y7" s="52">
        <f t="shared" si="8"/>
        <v>87380</v>
      </c>
      <c r="Z7" s="52" t="str">
        <f t="shared" si="9"/>
        <v>Sale</v>
      </c>
      <c r="AA7" s="52">
        <f t="shared" si="10"/>
        <v>61250</v>
      </c>
      <c r="AB7" s="52">
        <f t="array" ref="AB7">_xlfn.XLOOKUP(K7,Products!$B$2:$B$5,Products!$E$2:$E$5)</f>
        <v>2450</v>
      </c>
      <c r="AC7" s="52">
        <f t="shared" si="11"/>
        <v>26130</v>
      </c>
      <c r="AD7" s="52">
        <f t="shared" si="12"/>
        <v>26130</v>
      </c>
      <c r="AE7" s="53">
        <f t="shared" si="13"/>
        <v>0.2990386816</v>
      </c>
      <c r="AF7" s="54"/>
      <c r="AG7" s="54"/>
    </row>
    <row r="8" ht="14.25" customHeight="1">
      <c r="A8" s="26">
        <v>1006.0</v>
      </c>
      <c r="B8" s="26" t="str">
        <f t="shared" ref="B8:B21" si="14">if(countif($A$2:$A1000,A8)&gt;1,"Duplicates","Ok")</f>
        <v>Ok</v>
      </c>
      <c r="C8" s="26" t="s">
        <v>104</v>
      </c>
      <c r="D8" s="31">
        <v>45659.0</v>
      </c>
      <c r="E8" s="26" t="s">
        <v>105</v>
      </c>
      <c r="F8" s="26" t="str">
        <f t="shared" si="2"/>
        <v>C025</v>
      </c>
      <c r="G8" s="26" t="s">
        <v>89</v>
      </c>
      <c r="H8" s="26" t="s">
        <v>97</v>
      </c>
      <c r="I8" s="26" t="s">
        <v>39</v>
      </c>
      <c r="J8" s="26" t="str">
        <f t="array" ref="J8">_xlfn.XLOOKUP(I8,Lookup!$D$2:$D$11,Lookup!$E$2:$E$11,I8)</f>
        <v>Bucuresti</v>
      </c>
      <c r="K8" s="26" t="s">
        <v>44</v>
      </c>
      <c r="L8" s="26" t="s">
        <v>42</v>
      </c>
      <c r="M8" s="26" t="str">
        <f>VLOOKUP(L8,Lookup!G:H,2,FALSE)</f>
        <v>Electronics</v>
      </c>
      <c r="N8" s="26">
        <v>25.0</v>
      </c>
      <c r="O8" s="26" t="str">
        <f t="shared" si="3"/>
        <v>OK</v>
      </c>
      <c r="P8" s="26">
        <v>950.0</v>
      </c>
      <c r="Q8" s="26">
        <f t="shared" si="4"/>
        <v>950</v>
      </c>
      <c r="R8" s="26" t="str">
        <f t="shared" si="5"/>
        <v>OK</v>
      </c>
      <c r="S8" s="26">
        <v>0.0</v>
      </c>
      <c r="T8" s="26">
        <f t="shared" si="6"/>
        <v>0</v>
      </c>
      <c r="U8" s="26" t="s">
        <v>13</v>
      </c>
      <c r="V8" s="26" t="str">
        <f>IF(U8="","Unknown",IFERROR(VLOOKUP(U8,Lookup!$A$2:$B$6,2,FALSE),U8))</f>
        <v>Card</v>
      </c>
      <c r="W8" s="26"/>
      <c r="X8" s="26" t="str">
        <f t="shared" si="7"/>
        <v>Unknown</v>
      </c>
      <c r="Y8" s="52">
        <f t="shared" si="8"/>
        <v>23750</v>
      </c>
      <c r="Z8" s="52" t="str">
        <f t="shared" si="9"/>
        <v>Sale</v>
      </c>
      <c r="AA8" s="52">
        <f t="shared" si="10"/>
        <v>16625</v>
      </c>
      <c r="AB8" s="52">
        <f t="array" ref="AB8">_xlfn.XLOOKUP(K8,Products!$B$2:$B$5,Products!$E$2:$E$5)</f>
        <v>665</v>
      </c>
      <c r="AC8" s="52">
        <f t="shared" si="11"/>
        <v>7125</v>
      </c>
      <c r="AD8" s="52">
        <f t="shared" si="12"/>
        <v>7125</v>
      </c>
      <c r="AE8" s="53">
        <f t="shared" si="13"/>
        <v>0.3</v>
      </c>
      <c r="AF8" s="54"/>
      <c r="AG8" s="54"/>
    </row>
    <row r="9" ht="14.25" customHeight="1">
      <c r="A9" s="26">
        <v>1007.0</v>
      </c>
      <c r="B9" s="26" t="str">
        <f t="shared" si="14"/>
        <v>Ok</v>
      </c>
      <c r="C9" s="26" t="s">
        <v>106</v>
      </c>
      <c r="D9" s="31">
        <v>45714.0</v>
      </c>
      <c r="E9" s="26" t="s">
        <v>107</v>
      </c>
      <c r="F9" s="26" t="str">
        <f t="shared" si="2"/>
        <v>C014</v>
      </c>
      <c r="G9" s="26" t="s">
        <v>93</v>
      </c>
      <c r="H9" s="26" t="s">
        <v>94</v>
      </c>
      <c r="I9" s="26" t="s">
        <v>48</v>
      </c>
      <c r="J9" s="26" t="str">
        <f t="array" ref="J9">_xlfn.XLOOKUP(I9,Lookup!$D$2:$D$11,Lookup!$E$2:$E$11,I9)</f>
        <v>Bucuresti</v>
      </c>
      <c r="K9" s="26" t="s">
        <v>34</v>
      </c>
      <c r="L9" s="26" t="s">
        <v>33</v>
      </c>
      <c r="M9" s="26" t="str">
        <f>VLOOKUP(L9,Lookup!G:H,2,FALSE)</f>
        <v>Electronics</v>
      </c>
      <c r="N9" s="26">
        <v>1.0</v>
      </c>
      <c r="O9" s="26" t="str">
        <f t="shared" si="3"/>
        <v>OK</v>
      </c>
      <c r="P9" s="26">
        <v>-120.0</v>
      </c>
      <c r="Q9" s="26">
        <f t="shared" si="4"/>
        <v>120</v>
      </c>
      <c r="R9" s="26" t="str">
        <f t="shared" si="5"/>
        <v>Negative Quantity</v>
      </c>
      <c r="S9" s="26">
        <v>15.0</v>
      </c>
      <c r="T9" s="26">
        <f t="shared" si="6"/>
        <v>15</v>
      </c>
      <c r="U9" s="26" t="s">
        <v>53</v>
      </c>
      <c r="V9" s="26" t="str">
        <f>IF(U9="","Unknown",IFERROR(VLOOKUP(U9,Lookup!$A$2:$B$6,2,FALSE),U9))</f>
        <v>Cash</v>
      </c>
      <c r="W9" s="26" t="s">
        <v>78</v>
      </c>
      <c r="X9" s="26" t="str">
        <f t="shared" si="7"/>
        <v>Andrei</v>
      </c>
      <c r="Y9" s="52">
        <f t="shared" si="8"/>
        <v>105</v>
      </c>
      <c r="Z9" s="52" t="str">
        <f t="shared" si="9"/>
        <v>Sale</v>
      </c>
      <c r="AA9" s="52">
        <f t="shared" si="10"/>
        <v>84</v>
      </c>
      <c r="AB9" s="52">
        <f t="array" ref="AB9">_xlfn.XLOOKUP(K9,Products!$B$2:$B$5,Products!$E$2:$E$5)</f>
        <v>84</v>
      </c>
      <c r="AC9" s="52">
        <f t="shared" si="11"/>
        <v>21</v>
      </c>
      <c r="AD9" s="52">
        <f t="shared" si="12"/>
        <v>21</v>
      </c>
      <c r="AE9" s="53">
        <f t="shared" si="13"/>
        <v>0.2</v>
      </c>
      <c r="AF9" s="54"/>
      <c r="AG9" s="54"/>
    </row>
    <row r="10" ht="14.25" customHeight="1">
      <c r="A10" s="26">
        <v>1008.0</v>
      </c>
      <c r="B10" s="26" t="str">
        <f t="shared" si="14"/>
        <v>Ok</v>
      </c>
      <c r="C10" s="26" t="s">
        <v>108</v>
      </c>
      <c r="D10" s="31">
        <v>45703.0</v>
      </c>
      <c r="E10" s="26" t="s">
        <v>109</v>
      </c>
      <c r="F10" s="26" t="str">
        <f t="shared" si="2"/>
        <v>C023</v>
      </c>
      <c r="G10" s="26" t="s">
        <v>99</v>
      </c>
      <c r="H10" s="26" t="s">
        <v>95</v>
      </c>
      <c r="I10" s="26" t="s">
        <v>54</v>
      </c>
      <c r="J10" s="26" t="str">
        <f t="array" ref="J10">_xlfn.XLOOKUP(I10,Lookup!$D$2:$D$11,Lookup!$E$2:$E$11,I10)</f>
        <v>Cluj-Napoca</v>
      </c>
      <c r="K10" s="26" t="s">
        <v>34</v>
      </c>
      <c r="L10" s="26" t="s">
        <v>33</v>
      </c>
      <c r="M10" s="26" t="str">
        <f>VLOOKUP(L10,Lookup!G:H,2,FALSE)</f>
        <v>Electronics</v>
      </c>
      <c r="N10" s="26">
        <v>-1.0</v>
      </c>
      <c r="O10" s="26" t="str">
        <f t="shared" si="3"/>
        <v>Negative Quantity</v>
      </c>
      <c r="P10" s="26">
        <v>120.0</v>
      </c>
      <c r="Q10" s="26">
        <f t="shared" si="4"/>
        <v>120</v>
      </c>
      <c r="R10" s="26" t="str">
        <f t="shared" si="5"/>
        <v>OK</v>
      </c>
      <c r="S10" s="26">
        <v>5.0</v>
      </c>
      <c r="T10" s="26">
        <f t="shared" si="6"/>
        <v>5</v>
      </c>
      <c r="U10" s="26" t="s">
        <v>37</v>
      </c>
      <c r="V10" s="26" t="str">
        <f>IF(U10="","Unknown",IFERROR(VLOOKUP(U10,Lookup!$A$2:$B$6,2,FALSE),U10))</f>
        <v>Bank Transfer</v>
      </c>
      <c r="W10" s="26" t="s">
        <v>78</v>
      </c>
      <c r="X10" s="26" t="str">
        <f t="shared" si="7"/>
        <v>Andrei</v>
      </c>
      <c r="Y10" s="52">
        <f t="shared" si="8"/>
        <v>-125</v>
      </c>
      <c r="Z10" s="52" t="str">
        <f t="shared" si="9"/>
        <v>Possible Return</v>
      </c>
      <c r="AA10" s="52">
        <f t="shared" si="10"/>
        <v>-84</v>
      </c>
      <c r="AB10" s="52">
        <f t="array" ref="AB10">_xlfn.XLOOKUP(K10,Products!$B$2:$B$5,Products!$E$2:$E$5)</f>
        <v>84</v>
      </c>
      <c r="AC10" s="52">
        <f t="shared" si="11"/>
        <v>-41</v>
      </c>
      <c r="AD10" s="52" t="str">
        <f t="shared" si="12"/>
        <v/>
      </c>
      <c r="AE10" s="53" t="str">
        <f t="shared" si="13"/>
        <v/>
      </c>
      <c r="AF10" s="54"/>
      <c r="AG10" s="54"/>
    </row>
    <row r="11" ht="14.25" customHeight="1">
      <c r="A11" s="26">
        <v>1009.0</v>
      </c>
      <c r="B11" s="26" t="str">
        <f t="shared" si="14"/>
        <v>Ok</v>
      </c>
      <c r="C11" s="26" t="s">
        <v>110</v>
      </c>
      <c r="D11" s="31">
        <v>45706.0</v>
      </c>
      <c r="E11" s="26" t="s">
        <v>111</v>
      </c>
      <c r="F11" s="26" t="str">
        <f t="shared" si="2"/>
        <v>C005</v>
      </c>
      <c r="G11" s="26" t="s">
        <v>112</v>
      </c>
      <c r="H11" s="26" t="s">
        <v>94</v>
      </c>
      <c r="I11" s="26" t="s">
        <v>19</v>
      </c>
      <c r="J11" s="26" t="str">
        <f t="array" ref="J11">_xlfn.XLOOKUP(I11,Lookup!$D$2:$D$11,Lookup!$E$2:$E$11,I11)</f>
        <v>Cluj-Napoca</v>
      </c>
      <c r="K11" s="26" t="s">
        <v>51</v>
      </c>
      <c r="L11" s="26" t="s">
        <v>49</v>
      </c>
      <c r="M11" s="26" t="str">
        <f>VLOOKUP(L11,Lookup!G:H,2,FALSE)</f>
        <v>Furniture</v>
      </c>
      <c r="N11" s="26">
        <v>25.0</v>
      </c>
      <c r="O11" s="26" t="str">
        <f t="shared" si="3"/>
        <v>OK</v>
      </c>
      <c r="P11" s="26">
        <v>800.0</v>
      </c>
      <c r="Q11" s="26">
        <f t="shared" si="4"/>
        <v>800</v>
      </c>
      <c r="R11" s="26" t="str">
        <f t="shared" si="5"/>
        <v>OK</v>
      </c>
      <c r="S11" s="26">
        <v>10.0</v>
      </c>
      <c r="T11" s="26">
        <f t="shared" si="6"/>
        <v>10</v>
      </c>
      <c r="U11" s="26"/>
      <c r="V11" s="26" t="str">
        <f>IF(U11="","Unknown",IFERROR(VLOOKUP(U11,Lookup!$A$2:$B$6,2,FALSE),U11))</f>
        <v>Unknown</v>
      </c>
      <c r="W11" s="26" t="s">
        <v>80</v>
      </c>
      <c r="X11" s="26" t="str">
        <f t="shared" si="7"/>
        <v>Maria</v>
      </c>
      <c r="Y11" s="52">
        <f t="shared" si="8"/>
        <v>19990</v>
      </c>
      <c r="Z11" s="52" t="str">
        <f t="shared" si="9"/>
        <v>Sale</v>
      </c>
      <c r="AA11" s="52">
        <f t="shared" si="10"/>
        <v>14000</v>
      </c>
      <c r="AB11" s="52">
        <f t="array" ref="AB11">_xlfn.XLOOKUP(K11,Products!$B$2:$B$5,Products!$E$2:$E$5)</f>
        <v>560</v>
      </c>
      <c r="AC11" s="52">
        <f t="shared" si="11"/>
        <v>5990</v>
      </c>
      <c r="AD11" s="52">
        <f t="shared" si="12"/>
        <v>5990</v>
      </c>
      <c r="AE11" s="53">
        <f t="shared" si="13"/>
        <v>0.2996498249</v>
      </c>
      <c r="AF11" s="54"/>
      <c r="AG11" s="54"/>
    </row>
    <row r="12" ht="14.25" customHeight="1">
      <c r="A12" s="26">
        <v>1010.0</v>
      </c>
      <c r="B12" s="26" t="str">
        <f t="shared" si="14"/>
        <v>Ok</v>
      </c>
      <c r="C12" s="26" t="s">
        <v>113</v>
      </c>
      <c r="D12" s="31">
        <v>45704.0</v>
      </c>
      <c r="E12" s="26" t="s">
        <v>114</v>
      </c>
      <c r="F12" s="26" t="str">
        <f t="shared" si="2"/>
        <v>C009</v>
      </c>
      <c r="G12" s="26" t="s">
        <v>93</v>
      </c>
      <c r="H12" s="26" t="s">
        <v>94</v>
      </c>
      <c r="I12" s="26" t="s">
        <v>19</v>
      </c>
      <c r="J12" s="26" t="str">
        <f t="array" ref="J12">_xlfn.XLOOKUP(I12,Lookup!$D$2:$D$11,Lookup!$E$2:$E$11,I12)</f>
        <v>Cluj-Napoca</v>
      </c>
      <c r="K12" s="26" t="s">
        <v>26</v>
      </c>
      <c r="L12" s="26" t="s">
        <v>24</v>
      </c>
      <c r="M12" s="26" t="str">
        <f>VLOOKUP(L12,Lookup!G:H,2,FALSE)</f>
        <v>Electronics</v>
      </c>
      <c r="N12" s="26">
        <v>2.0</v>
      </c>
      <c r="O12" s="26" t="str">
        <f t="shared" si="3"/>
        <v>OK</v>
      </c>
      <c r="P12" s="26">
        <v>3500.0</v>
      </c>
      <c r="Q12" s="26">
        <f t="shared" si="4"/>
        <v>3500</v>
      </c>
      <c r="R12" s="26" t="str">
        <f t="shared" si="5"/>
        <v>OK</v>
      </c>
      <c r="S12" s="26"/>
      <c r="T12" s="26" t="str">
        <f t="shared" si="6"/>
        <v>0</v>
      </c>
      <c r="U12" s="26" t="s">
        <v>53</v>
      </c>
      <c r="V12" s="26" t="str">
        <f>IF(U12="","Unknown",IFERROR(VLOOKUP(U12,Lookup!$A$2:$B$6,2,FALSE),U12))</f>
        <v>Cash</v>
      </c>
      <c r="W12" s="26" t="s">
        <v>79</v>
      </c>
      <c r="X12" s="26" t="str">
        <f t="shared" si="7"/>
        <v>George</v>
      </c>
      <c r="Y12" s="52">
        <f t="shared" si="8"/>
        <v>7000</v>
      </c>
      <c r="Z12" s="52" t="str">
        <f t="shared" si="9"/>
        <v>Sale</v>
      </c>
      <c r="AA12" s="52">
        <f t="shared" si="10"/>
        <v>4900</v>
      </c>
      <c r="AB12" s="52">
        <f t="array" ref="AB12">_xlfn.XLOOKUP(K12,Products!$B$2:$B$5,Products!$E$2:$E$5)</f>
        <v>2450</v>
      </c>
      <c r="AC12" s="52">
        <f t="shared" si="11"/>
        <v>2100</v>
      </c>
      <c r="AD12" s="52">
        <f t="shared" si="12"/>
        <v>2100</v>
      </c>
      <c r="AE12" s="53">
        <f t="shared" si="13"/>
        <v>0.3</v>
      </c>
      <c r="AF12" s="54"/>
      <c r="AG12" s="54"/>
    </row>
    <row r="13" ht="14.25" customHeight="1">
      <c r="A13" s="26">
        <v>1011.0</v>
      </c>
      <c r="B13" s="26" t="str">
        <f t="shared" si="14"/>
        <v>Ok</v>
      </c>
      <c r="C13" s="26" t="s">
        <v>115</v>
      </c>
      <c r="D13" s="31">
        <v>45670.0</v>
      </c>
      <c r="E13" s="26" t="s">
        <v>116</v>
      </c>
      <c r="F13" s="26" t="str">
        <f t="shared" si="2"/>
        <v>C022</v>
      </c>
      <c r="G13" s="26" t="s">
        <v>93</v>
      </c>
      <c r="H13" s="26" t="s">
        <v>94</v>
      </c>
      <c r="I13" s="26" t="s">
        <v>58</v>
      </c>
      <c r="J13" s="26" t="str">
        <f t="array" ref="J13">_xlfn.XLOOKUP(I13,Lookup!$D$2:$D$11,Lookup!$E$2:$E$11,I13)</f>
        <v>Bucuresti</v>
      </c>
      <c r="K13" s="26" t="s">
        <v>34</v>
      </c>
      <c r="L13" s="26" t="s">
        <v>33</v>
      </c>
      <c r="M13" s="26" t="str">
        <f>VLOOKUP(L13,Lookup!G:H,2,FALSE)</f>
        <v>Electronics</v>
      </c>
      <c r="N13" s="26">
        <v>25.0</v>
      </c>
      <c r="O13" s="26" t="str">
        <f t="shared" si="3"/>
        <v>OK</v>
      </c>
      <c r="P13" s="26">
        <v>120.0</v>
      </c>
      <c r="Q13" s="26">
        <f t="shared" si="4"/>
        <v>120</v>
      </c>
      <c r="R13" s="26" t="str">
        <f t="shared" si="5"/>
        <v>OK</v>
      </c>
      <c r="S13" s="26">
        <v>15.0</v>
      </c>
      <c r="T13" s="26">
        <f t="shared" si="6"/>
        <v>15</v>
      </c>
      <c r="U13" s="26" t="s">
        <v>16</v>
      </c>
      <c r="V13" s="26" t="str">
        <f>IF(U13="","Unknown",IFERROR(VLOOKUP(U13,Lookup!$A$2:$B$6,2,FALSE),U13))</f>
        <v>Card</v>
      </c>
      <c r="W13" s="26" t="s">
        <v>78</v>
      </c>
      <c r="X13" s="26" t="str">
        <f t="shared" si="7"/>
        <v>Andrei</v>
      </c>
      <c r="Y13" s="52">
        <f t="shared" si="8"/>
        <v>2985</v>
      </c>
      <c r="Z13" s="52" t="str">
        <f t="shared" si="9"/>
        <v>Sale</v>
      </c>
      <c r="AA13" s="52">
        <f t="shared" si="10"/>
        <v>2100</v>
      </c>
      <c r="AB13" s="52">
        <f t="array" ref="AB13">_xlfn.XLOOKUP(K13,Products!$B$2:$B$5,Products!$E$2:$E$5)</f>
        <v>84</v>
      </c>
      <c r="AC13" s="52">
        <f t="shared" si="11"/>
        <v>885</v>
      </c>
      <c r="AD13" s="52">
        <f t="shared" si="12"/>
        <v>885</v>
      </c>
      <c r="AE13" s="53">
        <f t="shared" si="13"/>
        <v>0.2964824121</v>
      </c>
      <c r="AF13" s="54"/>
      <c r="AG13" s="54"/>
    </row>
    <row r="14" ht="14.25" customHeight="1">
      <c r="A14" s="26">
        <v>1012.0</v>
      </c>
      <c r="B14" s="26" t="str">
        <f t="shared" si="14"/>
        <v>Ok</v>
      </c>
      <c r="C14" s="26" t="s">
        <v>87</v>
      </c>
      <c r="D14" s="31">
        <v>45665.0</v>
      </c>
      <c r="E14" s="26" t="s">
        <v>117</v>
      </c>
      <c r="F14" s="26" t="str">
        <f t="shared" si="2"/>
        <v>C021</v>
      </c>
      <c r="G14" s="26" t="s">
        <v>86</v>
      </c>
      <c r="H14" s="26" t="s">
        <v>97</v>
      </c>
      <c r="I14" s="26" t="s">
        <v>41</v>
      </c>
      <c r="J14" s="26" t="str">
        <f t="array" ref="J14">_xlfn.XLOOKUP(I14,Lookup!$D$2:$D$11,Lookup!$E$2:$E$11,I14)</f>
        <v>Bucuresti</v>
      </c>
      <c r="K14" s="26" t="s">
        <v>26</v>
      </c>
      <c r="L14" s="26" t="s">
        <v>24</v>
      </c>
      <c r="M14" s="26" t="str">
        <f>VLOOKUP(L14,Lookup!G:H,2,FALSE)</f>
        <v>Electronics</v>
      </c>
      <c r="N14" s="26">
        <v>25.0</v>
      </c>
      <c r="O14" s="26" t="str">
        <f t="shared" si="3"/>
        <v>OK</v>
      </c>
      <c r="P14" s="26">
        <v>3500.0</v>
      </c>
      <c r="Q14" s="26">
        <f t="shared" si="4"/>
        <v>3500</v>
      </c>
      <c r="R14" s="26" t="str">
        <f t="shared" si="5"/>
        <v>OK</v>
      </c>
      <c r="S14" s="26">
        <v>10.0</v>
      </c>
      <c r="T14" s="26">
        <f t="shared" si="6"/>
        <v>10</v>
      </c>
      <c r="U14" s="26"/>
      <c r="V14" s="26" t="str">
        <f>IF(U14="","Unknown",IFERROR(VLOOKUP(U14,Lookup!$A$2:$B$6,2,FALSE),U14))</f>
        <v>Unknown</v>
      </c>
      <c r="W14" s="26"/>
      <c r="X14" s="26" t="str">
        <f t="shared" si="7"/>
        <v>Unknown</v>
      </c>
      <c r="Y14" s="52">
        <f t="shared" si="8"/>
        <v>87490</v>
      </c>
      <c r="Z14" s="52" t="str">
        <f t="shared" si="9"/>
        <v>Sale</v>
      </c>
      <c r="AA14" s="52">
        <f t="shared" si="10"/>
        <v>61250</v>
      </c>
      <c r="AB14" s="52">
        <f t="array" ref="AB14">_xlfn.XLOOKUP(K14,Products!$B$2:$B$5,Products!$E$2:$E$5)</f>
        <v>2450</v>
      </c>
      <c r="AC14" s="52">
        <f t="shared" si="11"/>
        <v>26240</v>
      </c>
      <c r="AD14" s="52">
        <f t="shared" si="12"/>
        <v>26240</v>
      </c>
      <c r="AE14" s="53">
        <f t="shared" si="13"/>
        <v>0.2999199909</v>
      </c>
      <c r="AF14" s="54"/>
      <c r="AG14" s="54"/>
    </row>
    <row r="15" ht="14.25" customHeight="1">
      <c r="A15" s="26">
        <v>1013.0</v>
      </c>
      <c r="B15" s="26" t="str">
        <f t="shared" si="14"/>
        <v>Ok</v>
      </c>
      <c r="C15" s="26" t="s">
        <v>118</v>
      </c>
      <c r="D15" s="31">
        <v>45672.0</v>
      </c>
      <c r="E15" s="26" t="s">
        <v>119</v>
      </c>
      <c r="F15" s="26" t="str">
        <f t="shared" si="2"/>
        <v>C016</v>
      </c>
      <c r="G15" s="26" t="s">
        <v>103</v>
      </c>
      <c r="H15" s="26" t="s">
        <v>103</v>
      </c>
      <c r="I15" s="26" t="s">
        <v>19</v>
      </c>
      <c r="J15" s="26" t="str">
        <f t="array" ref="J15">_xlfn.XLOOKUP(I15,Lookup!$D$2:$D$11,Lookup!$E$2:$E$11,I15)</f>
        <v>Cluj-Napoca</v>
      </c>
      <c r="K15" s="26" t="s">
        <v>34</v>
      </c>
      <c r="L15" s="26" t="s">
        <v>33</v>
      </c>
      <c r="M15" s="26" t="str">
        <f>VLOOKUP(L15,Lookup!G:H,2,FALSE)</f>
        <v>Electronics</v>
      </c>
      <c r="N15" s="26">
        <v>-1.0</v>
      </c>
      <c r="O15" s="26" t="str">
        <f t="shared" si="3"/>
        <v>Negative Quantity</v>
      </c>
      <c r="P15" s="26">
        <v>120.0</v>
      </c>
      <c r="Q15" s="26">
        <f t="shared" si="4"/>
        <v>120</v>
      </c>
      <c r="R15" s="26" t="str">
        <f t="shared" si="5"/>
        <v>OK</v>
      </c>
      <c r="S15" s="26">
        <v>10.0</v>
      </c>
      <c r="T15" s="26">
        <f t="shared" si="6"/>
        <v>10</v>
      </c>
      <c r="U15" s="26" t="s">
        <v>53</v>
      </c>
      <c r="V15" s="26" t="str">
        <f>IF(U15="","Unknown",IFERROR(VLOOKUP(U15,Lookup!$A$2:$B$6,2,FALSE),U15))</f>
        <v>Cash</v>
      </c>
      <c r="W15" s="26"/>
      <c r="X15" s="26" t="str">
        <f t="shared" si="7"/>
        <v>Unknown</v>
      </c>
      <c r="Y15" s="52">
        <f t="shared" si="8"/>
        <v>-130</v>
      </c>
      <c r="Z15" s="52" t="str">
        <f t="shared" si="9"/>
        <v>Possible Return</v>
      </c>
      <c r="AA15" s="52">
        <f t="shared" si="10"/>
        <v>-84</v>
      </c>
      <c r="AB15" s="52">
        <f t="array" ref="AB15">_xlfn.XLOOKUP(K15,Products!$B$2:$B$5,Products!$E$2:$E$5)</f>
        <v>84</v>
      </c>
      <c r="AC15" s="52">
        <f t="shared" si="11"/>
        <v>-46</v>
      </c>
      <c r="AD15" s="52" t="str">
        <f t="shared" si="12"/>
        <v/>
      </c>
      <c r="AE15" s="53" t="str">
        <f t="shared" si="13"/>
        <v/>
      </c>
      <c r="AF15" s="54"/>
      <c r="AG15" s="54"/>
    </row>
    <row r="16" ht="14.25" customHeight="1">
      <c r="A16" s="26">
        <v>1014.0</v>
      </c>
      <c r="B16" s="26" t="str">
        <f t="shared" si="14"/>
        <v>Ok</v>
      </c>
      <c r="C16" s="26" t="s">
        <v>120</v>
      </c>
      <c r="D16" s="31">
        <v>45670.0</v>
      </c>
      <c r="E16" s="26" t="s">
        <v>121</v>
      </c>
      <c r="F16" s="26" t="str">
        <f t="shared" si="2"/>
        <v>C024</v>
      </c>
      <c r="G16" s="26" t="s">
        <v>102</v>
      </c>
      <c r="H16" s="26" t="s">
        <v>95</v>
      </c>
      <c r="I16" s="26" t="s">
        <v>22</v>
      </c>
      <c r="J16" s="26" t="str">
        <f t="array" ref="J16">_xlfn.XLOOKUP(I16,Lookup!$D$2:$D$11,Lookup!$E$2:$E$11,I16)</f>
        <v>Cluj-Napoca</v>
      </c>
      <c r="K16" s="26" t="s">
        <v>44</v>
      </c>
      <c r="L16" s="26" t="s">
        <v>42</v>
      </c>
      <c r="M16" s="26" t="str">
        <f>VLOOKUP(L16,Lookup!G:H,2,FALSE)</f>
        <v>Electronics</v>
      </c>
      <c r="N16" s="26">
        <v>3.0</v>
      </c>
      <c r="O16" s="26" t="str">
        <f t="shared" si="3"/>
        <v>OK</v>
      </c>
      <c r="P16" s="26">
        <v>950.0</v>
      </c>
      <c r="Q16" s="26">
        <f t="shared" si="4"/>
        <v>950</v>
      </c>
      <c r="R16" s="26" t="str">
        <f t="shared" si="5"/>
        <v>OK</v>
      </c>
      <c r="S16" s="26">
        <v>10.0</v>
      </c>
      <c r="T16" s="26">
        <f t="shared" si="6"/>
        <v>10</v>
      </c>
      <c r="U16" s="26" t="s">
        <v>13</v>
      </c>
      <c r="V16" s="26" t="str">
        <f>IF(U16="","Unknown",IFERROR(VLOOKUP(U16,Lookup!$A$2:$B$6,2,FALSE),U16))</f>
        <v>Card</v>
      </c>
      <c r="W16" s="26" t="s">
        <v>80</v>
      </c>
      <c r="X16" s="26" t="str">
        <f t="shared" si="7"/>
        <v>Maria</v>
      </c>
      <c r="Y16" s="52">
        <f t="shared" si="8"/>
        <v>2840</v>
      </c>
      <c r="Z16" s="52" t="str">
        <f t="shared" si="9"/>
        <v>Sale</v>
      </c>
      <c r="AA16" s="52">
        <f t="shared" si="10"/>
        <v>1995</v>
      </c>
      <c r="AB16" s="52">
        <f t="array" ref="AB16">_xlfn.XLOOKUP(K16,Products!$B$2:$B$5,Products!$E$2:$E$5)</f>
        <v>665</v>
      </c>
      <c r="AC16" s="52">
        <f t="shared" si="11"/>
        <v>845</v>
      </c>
      <c r="AD16" s="52">
        <f t="shared" si="12"/>
        <v>845</v>
      </c>
      <c r="AE16" s="53">
        <f t="shared" si="13"/>
        <v>0.2975352113</v>
      </c>
      <c r="AF16" s="54"/>
      <c r="AG16" s="54"/>
    </row>
    <row r="17" ht="14.25" customHeight="1">
      <c r="A17" s="26">
        <v>1015.0</v>
      </c>
      <c r="B17" s="26" t="str">
        <f t="shared" si="14"/>
        <v>Ok</v>
      </c>
      <c r="C17" s="26" t="s">
        <v>122</v>
      </c>
      <c r="D17" s="31">
        <v>45717.0</v>
      </c>
      <c r="E17" s="26"/>
      <c r="F17" s="26" t="str">
        <f t="shared" si="2"/>
        <v>Unknown</v>
      </c>
      <c r="G17" s="26" t="s">
        <v>123</v>
      </c>
      <c r="H17" s="26" t="s">
        <v>68</v>
      </c>
      <c r="I17" s="26" t="s">
        <v>39</v>
      </c>
      <c r="J17" s="26" t="str">
        <f t="array" ref="J17">_xlfn.XLOOKUP(I17,Lookup!$D$2:$D$11,Lookup!$E$2:$E$11,I17)</f>
        <v>Bucuresti</v>
      </c>
      <c r="K17" s="26" t="s">
        <v>44</v>
      </c>
      <c r="L17" s="26" t="s">
        <v>42</v>
      </c>
      <c r="M17" s="26" t="str">
        <f>VLOOKUP(L17,Lookup!G:H,2,FALSE)</f>
        <v>Electronics</v>
      </c>
      <c r="N17" s="26">
        <v>0.0</v>
      </c>
      <c r="O17" s="26" t="str">
        <f t="shared" si="3"/>
        <v>Zero Quantity</v>
      </c>
      <c r="P17" s="26">
        <v>950.0</v>
      </c>
      <c r="Q17" s="26">
        <f t="shared" si="4"/>
        <v>950</v>
      </c>
      <c r="R17" s="26" t="str">
        <f t="shared" si="5"/>
        <v>OK</v>
      </c>
      <c r="S17" s="26"/>
      <c r="T17" s="26" t="str">
        <f t="shared" si="6"/>
        <v>0</v>
      </c>
      <c r="U17" s="26"/>
      <c r="V17" s="26" t="str">
        <f>IF(U17="","Unknown",IFERROR(VLOOKUP(U17,Lookup!$A$2:$B$6,2,FALSE),U17))</f>
        <v>Unknown</v>
      </c>
      <c r="W17" s="26" t="s">
        <v>80</v>
      </c>
      <c r="X17" s="26" t="str">
        <f t="shared" si="7"/>
        <v>Maria</v>
      </c>
      <c r="Y17" s="52">
        <f t="shared" si="8"/>
        <v>0</v>
      </c>
      <c r="Z17" s="52" t="str">
        <f t="shared" si="9"/>
        <v>Invalid - Zero Quantity</v>
      </c>
      <c r="AA17" s="52">
        <f t="shared" si="10"/>
        <v>0</v>
      </c>
      <c r="AB17" s="52">
        <f t="array" ref="AB17">_xlfn.XLOOKUP(K17,Products!$B$2:$B$5,Products!$E$2:$E$5)</f>
        <v>665</v>
      </c>
      <c r="AC17" s="52">
        <f t="shared" si="11"/>
        <v>0</v>
      </c>
      <c r="AD17" s="52" t="str">
        <f t="shared" si="12"/>
        <v/>
      </c>
      <c r="AE17" s="53" t="str">
        <f t="shared" si="13"/>
        <v/>
      </c>
      <c r="AF17" s="54"/>
      <c r="AG17" s="54"/>
    </row>
    <row r="18" ht="14.25" customHeight="1">
      <c r="A18" s="26">
        <v>1016.0</v>
      </c>
      <c r="B18" s="26" t="str">
        <f t="shared" si="14"/>
        <v>Ok</v>
      </c>
      <c r="C18" s="26" t="s">
        <v>124</v>
      </c>
      <c r="D18" s="31">
        <v>45664.0</v>
      </c>
      <c r="E18" s="26" t="s">
        <v>98</v>
      </c>
      <c r="F18" s="26" t="str">
        <f t="shared" si="2"/>
        <v>C011</v>
      </c>
      <c r="G18" s="26" t="s">
        <v>103</v>
      </c>
      <c r="H18" s="26" t="s">
        <v>103</v>
      </c>
      <c r="I18" s="26" t="s">
        <v>19</v>
      </c>
      <c r="J18" s="26" t="str">
        <f t="array" ref="J18">_xlfn.XLOOKUP(I18,Lookup!$D$2:$D$11,Lookup!$E$2:$E$11,I18)</f>
        <v>Cluj-Napoca</v>
      </c>
      <c r="K18" s="26" t="s">
        <v>44</v>
      </c>
      <c r="L18" s="26" t="s">
        <v>42</v>
      </c>
      <c r="M18" s="26" t="str">
        <f>VLOOKUP(L18,Lookup!G:H,2,FALSE)</f>
        <v>Electronics</v>
      </c>
      <c r="N18" s="26">
        <v>25.0</v>
      </c>
      <c r="O18" s="26" t="str">
        <f t="shared" si="3"/>
        <v>OK</v>
      </c>
      <c r="P18" s="26">
        <v>950.0</v>
      </c>
      <c r="Q18" s="26">
        <f t="shared" si="4"/>
        <v>950</v>
      </c>
      <c r="R18" s="26" t="str">
        <f t="shared" si="5"/>
        <v>OK</v>
      </c>
      <c r="S18" s="26">
        <v>120.0</v>
      </c>
      <c r="T18" s="26">
        <f t="shared" si="6"/>
        <v>120</v>
      </c>
      <c r="U18" s="26" t="s">
        <v>13</v>
      </c>
      <c r="V18" s="26" t="str">
        <f>IF(U18="","Unknown",IFERROR(VLOOKUP(U18,Lookup!$A$2:$B$6,2,FALSE),U18))</f>
        <v>Card</v>
      </c>
      <c r="W18" s="26" t="s">
        <v>79</v>
      </c>
      <c r="X18" s="26" t="str">
        <f t="shared" si="7"/>
        <v>George</v>
      </c>
      <c r="Y18" s="52">
        <f t="shared" si="8"/>
        <v>23630</v>
      </c>
      <c r="Z18" s="52" t="str">
        <f t="shared" si="9"/>
        <v>Sale</v>
      </c>
      <c r="AA18" s="52">
        <f t="shared" si="10"/>
        <v>16625</v>
      </c>
      <c r="AB18" s="52">
        <f t="array" ref="AB18">_xlfn.XLOOKUP(K18,Products!$B$2:$B$5,Products!$E$2:$E$5)</f>
        <v>665</v>
      </c>
      <c r="AC18" s="52">
        <f t="shared" si="11"/>
        <v>7005</v>
      </c>
      <c r="AD18" s="52">
        <f t="shared" si="12"/>
        <v>7005</v>
      </c>
      <c r="AE18" s="53">
        <f t="shared" si="13"/>
        <v>0.2964451968</v>
      </c>
      <c r="AF18" s="54"/>
      <c r="AG18" s="54"/>
    </row>
    <row r="19" ht="14.25" customHeight="1">
      <c r="A19" s="26">
        <v>1017.0</v>
      </c>
      <c r="B19" s="26" t="str">
        <f t="shared" si="14"/>
        <v>Ok</v>
      </c>
      <c r="C19" s="26" t="s">
        <v>125</v>
      </c>
      <c r="D19" s="31">
        <v>45670.0</v>
      </c>
      <c r="E19" s="26" t="s">
        <v>126</v>
      </c>
      <c r="F19" s="26" t="str">
        <f t="shared" si="2"/>
        <v>C015</v>
      </c>
      <c r="G19" s="26" t="s">
        <v>112</v>
      </c>
      <c r="H19" s="26" t="s">
        <v>94</v>
      </c>
      <c r="I19" s="26" t="s">
        <v>22</v>
      </c>
      <c r="J19" s="26" t="str">
        <f t="array" ref="J19">_xlfn.XLOOKUP(I19,Lookup!$D$2:$D$11,Lookup!$E$2:$E$11,I19)</f>
        <v>Cluj-Napoca</v>
      </c>
      <c r="K19" s="26" t="s">
        <v>51</v>
      </c>
      <c r="L19" s="26" t="s">
        <v>49</v>
      </c>
      <c r="M19" s="26" t="str">
        <f>VLOOKUP(L19,Lookup!G:H,2,FALSE)</f>
        <v>Furniture</v>
      </c>
      <c r="N19" s="26">
        <v>25.0</v>
      </c>
      <c r="O19" s="26" t="str">
        <f t="shared" si="3"/>
        <v>OK</v>
      </c>
      <c r="P19" s="26">
        <v>800.0</v>
      </c>
      <c r="Q19" s="26">
        <f t="shared" si="4"/>
        <v>800</v>
      </c>
      <c r="R19" s="26" t="str">
        <f t="shared" si="5"/>
        <v>OK</v>
      </c>
      <c r="S19" s="26">
        <v>15.0</v>
      </c>
      <c r="T19" s="26">
        <f t="shared" si="6"/>
        <v>15</v>
      </c>
      <c r="U19" s="26"/>
      <c r="V19" s="26" t="str">
        <f>IF(U19="","Unknown",IFERROR(VLOOKUP(U19,Lookup!$A$2:$B$6,2,FALSE),U19))</f>
        <v>Unknown</v>
      </c>
      <c r="W19" s="26"/>
      <c r="X19" s="26" t="str">
        <f t="shared" si="7"/>
        <v>Unknown</v>
      </c>
      <c r="Y19" s="52">
        <f t="shared" si="8"/>
        <v>19985</v>
      </c>
      <c r="Z19" s="52" t="str">
        <f t="shared" si="9"/>
        <v>Sale</v>
      </c>
      <c r="AA19" s="52">
        <f t="shared" si="10"/>
        <v>14000</v>
      </c>
      <c r="AB19" s="52">
        <f t="array" ref="AB19">_xlfn.XLOOKUP(K19,Products!$B$2:$B$5,Products!$E$2:$E$5)</f>
        <v>560</v>
      </c>
      <c r="AC19" s="52">
        <f t="shared" si="11"/>
        <v>5985</v>
      </c>
      <c r="AD19" s="52">
        <f t="shared" si="12"/>
        <v>5985</v>
      </c>
      <c r="AE19" s="53">
        <f t="shared" si="13"/>
        <v>0.299474606</v>
      </c>
      <c r="AF19" s="54"/>
      <c r="AG19" s="54"/>
    </row>
    <row r="20" ht="14.25" customHeight="1">
      <c r="A20" s="26">
        <v>1018.0</v>
      </c>
      <c r="B20" s="26" t="str">
        <f t="shared" si="14"/>
        <v>Ok</v>
      </c>
      <c r="C20" s="26" t="s">
        <v>127</v>
      </c>
      <c r="D20" s="31">
        <v>45668.0</v>
      </c>
      <c r="E20" s="26" t="s">
        <v>128</v>
      </c>
      <c r="F20" s="26" t="str">
        <f t="shared" si="2"/>
        <v>C013</v>
      </c>
      <c r="G20" s="26" t="s">
        <v>93</v>
      </c>
      <c r="H20" s="26" t="s">
        <v>94</v>
      </c>
      <c r="I20" s="26" t="s">
        <v>54</v>
      </c>
      <c r="J20" s="26" t="str">
        <f t="array" ref="J20">_xlfn.XLOOKUP(I20,Lookup!$D$2:$D$11,Lookup!$E$2:$E$11,I20)</f>
        <v>Cluj-Napoca</v>
      </c>
      <c r="K20" s="26" t="s">
        <v>34</v>
      </c>
      <c r="L20" s="26" t="s">
        <v>33</v>
      </c>
      <c r="M20" s="26" t="str">
        <f>VLOOKUP(L20,Lookup!G:H,2,FALSE)</f>
        <v>Electronics</v>
      </c>
      <c r="N20" s="26">
        <v>25.0</v>
      </c>
      <c r="O20" s="26" t="str">
        <f t="shared" si="3"/>
        <v>OK</v>
      </c>
      <c r="P20" s="26">
        <v>120.0</v>
      </c>
      <c r="Q20" s="26">
        <f t="shared" si="4"/>
        <v>120</v>
      </c>
      <c r="R20" s="26" t="str">
        <f t="shared" si="5"/>
        <v>OK</v>
      </c>
      <c r="S20" s="26"/>
      <c r="T20" s="26" t="str">
        <f t="shared" si="6"/>
        <v>0</v>
      </c>
      <c r="U20" s="26" t="s">
        <v>38</v>
      </c>
      <c r="V20" s="26" t="str">
        <f>IF(U20="","Unknown",IFERROR(VLOOKUP(U20,Lookup!$A$2:$B$6,2,FALSE),U20))</f>
        <v>Bank Transfer</v>
      </c>
      <c r="W20" s="26" t="s">
        <v>78</v>
      </c>
      <c r="X20" s="26" t="str">
        <f t="shared" si="7"/>
        <v>Andrei</v>
      </c>
      <c r="Y20" s="52">
        <f t="shared" si="8"/>
        <v>3000</v>
      </c>
      <c r="Z20" s="52" t="str">
        <f t="shared" si="9"/>
        <v>Sale</v>
      </c>
      <c r="AA20" s="52">
        <f t="shared" si="10"/>
        <v>2100</v>
      </c>
      <c r="AB20" s="52">
        <f t="array" ref="AB20">_xlfn.XLOOKUP(K20,Products!$B$2:$B$5,Products!$E$2:$E$5)</f>
        <v>84</v>
      </c>
      <c r="AC20" s="52">
        <f t="shared" si="11"/>
        <v>900</v>
      </c>
      <c r="AD20" s="52">
        <f t="shared" si="12"/>
        <v>900</v>
      </c>
      <c r="AE20" s="53">
        <f t="shared" si="13"/>
        <v>0.3</v>
      </c>
      <c r="AF20" s="54"/>
      <c r="AG20" s="54"/>
    </row>
    <row r="21" ht="14.25" customHeight="1">
      <c r="A21" s="26">
        <v>1019.0</v>
      </c>
      <c r="B21" s="26" t="str">
        <f t="shared" si="14"/>
        <v>Ok</v>
      </c>
      <c r="C21" s="26" t="s">
        <v>129</v>
      </c>
      <c r="D21" s="31">
        <v>45671.0</v>
      </c>
      <c r="E21" s="26" t="s">
        <v>130</v>
      </c>
      <c r="F21" s="26" t="str">
        <f t="shared" si="2"/>
        <v>C008</v>
      </c>
      <c r="G21" s="26" t="s">
        <v>99</v>
      </c>
      <c r="H21" s="26" t="s">
        <v>95</v>
      </c>
      <c r="I21" s="26" t="s">
        <v>60</v>
      </c>
      <c r="J21" s="26" t="str">
        <f t="array" ref="J21">_xlfn.XLOOKUP(I21,Lookup!$D$2:$D$11,Lookup!$E$2:$E$11,I21)</f>
        <v>Iasi</v>
      </c>
      <c r="K21" s="26" t="s">
        <v>34</v>
      </c>
      <c r="L21" s="26" t="s">
        <v>33</v>
      </c>
      <c r="M21" s="26" t="str">
        <f>VLOOKUP(L21,Lookup!G:H,2,FALSE)</f>
        <v>Electronics</v>
      </c>
      <c r="N21" s="26">
        <v>2.0</v>
      </c>
      <c r="O21" s="26" t="str">
        <f t="shared" si="3"/>
        <v>OK</v>
      </c>
      <c r="P21" s="26">
        <v>120.0</v>
      </c>
      <c r="Q21" s="26">
        <f t="shared" si="4"/>
        <v>120</v>
      </c>
      <c r="R21" s="26" t="str">
        <f t="shared" si="5"/>
        <v>OK</v>
      </c>
      <c r="S21" s="26">
        <v>120.0</v>
      </c>
      <c r="T21" s="26">
        <f t="shared" si="6"/>
        <v>120</v>
      </c>
      <c r="U21" s="26" t="s">
        <v>37</v>
      </c>
      <c r="V21" s="26" t="str">
        <f>IF(U21="","Unknown",IFERROR(VLOOKUP(U21,Lookup!$A$2:$B$6,2,FALSE),U21))</f>
        <v>Bank Transfer</v>
      </c>
      <c r="W21" s="26" t="s">
        <v>78</v>
      </c>
      <c r="X21" s="26" t="str">
        <f t="shared" si="7"/>
        <v>Andrei</v>
      </c>
      <c r="Y21" s="52">
        <f t="shared" si="8"/>
        <v>120</v>
      </c>
      <c r="Z21" s="52" t="str">
        <f t="shared" si="9"/>
        <v>Sale</v>
      </c>
      <c r="AA21" s="52">
        <f t="shared" si="10"/>
        <v>168</v>
      </c>
      <c r="AB21" s="52">
        <f t="array" ref="AB21">_xlfn.XLOOKUP(K21,Products!$B$2:$B$5,Products!$E$2:$E$5)</f>
        <v>84</v>
      </c>
      <c r="AC21" s="52">
        <f t="shared" si="11"/>
        <v>-48</v>
      </c>
      <c r="AD21" s="52">
        <f t="shared" si="12"/>
        <v>-48</v>
      </c>
      <c r="AE21" s="53">
        <f t="shared" si="13"/>
        <v>-0.4</v>
      </c>
      <c r="AF21" s="54"/>
      <c r="AG21" s="54"/>
    </row>
    <row r="22" ht="14.25" customHeight="1">
      <c r="A22" s="26">
        <v>1005.0</v>
      </c>
      <c r="B22" s="52" t="s">
        <v>265</v>
      </c>
      <c r="C22" s="26" t="s">
        <v>131</v>
      </c>
      <c r="D22" s="31">
        <v>45683.0</v>
      </c>
      <c r="E22" s="26"/>
      <c r="F22" s="26" t="str">
        <f t="shared" si="2"/>
        <v>Unknown</v>
      </c>
      <c r="G22" s="26" t="s">
        <v>103</v>
      </c>
      <c r="H22" s="26" t="s">
        <v>103</v>
      </c>
      <c r="I22" s="26" t="s">
        <v>19</v>
      </c>
      <c r="J22" s="26" t="str">
        <f t="array" ref="J22">_xlfn.XLOOKUP(I22,Lookup!$D$2:$D$11,Lookup!$E$2:$E$11,I22)</f>
        <v>Cluj-Napoca</v>
      </c>
      <c r="K22" s="26" t="s">
        <v>51</v>
      </c>
      <c r="L22" s="26" t="s">
        <v>49</v>
      </c>
      <c r="M22" s="26" t="str">
        <f>VLOOKUP(L22,Lookup!G:H,2,FALSE)</f>
        <v>Furniture</v>
      </c>
      <c r="N22" s="26">
        <v>-1.0</v>
      </c>
      <c r="O22" s="26" t="str">
        <f t="shared" si="3"/>
        <v>Negative Quantity</v>
      </c>
      <c r="P22" s="26">
        <v>800.0</v>
      </c>
      <c r="Q22" s="26">
        <f t="shared" si="4"/>
        <v>800</v>
      </c>
      <c r="R22" s="26" t="str">
        <f t="shared" si="5"/>
        <v>OK</v>
      </c>
      <c r="S22" s="26"/>
      <c r="T22" s="26" t="str">
        <f t="shared" si="6"/>
        <v>0</v>
      </c>
      <c r="U22" s="26" t="s">
        <v>13</v>
      </c>
      <c r="V22" s="26" t="str">
        <f>IF(U22="","Unknown",IFERROR(VLOOKUP(U22,Lookup!$A$2:$B$6,2,FALSE),U22))</f>
        <v>Card</v>
      </c>
      <c r="W22" s="26" t="s">
        <v>80</v>
      </c>
      <c r="X22" s="26" t="str">
        <f t="shared" si="7"/>
        <v>Maria</v>
      </c>
      <c r="Y22" s="52">
        <f t="shared" si="8"/>
        <v>-800</v>
      </c>
      <c r="Z22" s="52" t="str">
        <f t="shared" si="9"/>
        <v>Possible Return</v>
      </c>
      <c r="AA22" s="52">
        <f t="shared" si="10"/>
        <v>-560</v>
      </c>
      <c r="AB22" s="52">
        <f t="array" ref="AB22">_xlfn.XLOOKUP(K22,Products!$B$2:$B$5,Products!$E$2:$E$5)</f>
        <v>560</v>
      </c>
      <c r="AC22" s="52">
        <f t="shared" si="11"/>
        <v>-240</v>
      </c>
      <c r="AD22" s="52" t="str">
        <f t="shared" si="12"/>
        <v/>
      </c>
      <c r="AE22" s="53" t="str">
        <f t="shared" si="13"/>
        <v/>
      </c>
      <c r="AF22" s="54"/>
      <c r="AG22" s="54"/>
    </row>
    <row r="23" ht="14.25" customHeight="1">
      <c r="A23" s="26">
        <v>1021.0</v>
      </c>
      <c r="B23" s="26" t="str">
        <f t="shared" ref="B23:B81" si="15">if(countif($A$2:$A1000,A23)&gt;1,"Duplicates","Ok")</f>
        <v>Ok</v>
      </c>
      <c r="C23" s="26" t="s">
        <v>132</v>
      </c>
      <c r="D23" s="31">
        <v>45669.0</v>
      </c>
      <c r="E23" s="26" t="s">
        <v>130</v>
      </c>
      <c r="F23" s="26" t="str">
        <f t="shared" si="2"/>
        <v>C008</v>
      </c>
      <c r="G23" s="26" t="s">
        <v>103</v>
      </c>
      <c r="H23" s="26" t="s">
        <v>103</v>
      </c>
      <c r="I23" s="26" t="s">
        <v>48</v>
      </c>
      <c r="J23" s="26" t="str">
        <f t="array" ref="J23">_xlfn.XLOOKUP(I23,Lookup!$D$2:$D$11,Lookup!$E$2:$E$11,I23)</f>
        <v>Bucuresti</v>
      </c>
      <c r="K23" s="26" t="s">
        <v>44</v>
      </c>
      <c r="L23" s="26" t="s">
        <v>42</v>
      </c>
      <c r="M23" s="26" t="str">
        <f>VLOOKUP(L23,Lookup!G:H,2,FALSE)</f>
        <v>Electronics</v>
      </c>
      <c r="N23" s="26">
        <v>0.0</v>
      </c>
      <c r="O23" s="26" t="str">
        <f t="shared" si="3"/>
        <v>Zero Quantity</v>
      </c>
      <c r="P23" s="26">
        <v>950.0</v>
      </c>
      <c r="Q23" s="26">
        <f t="shared" si="4"/>
        <v>950</v>
      </c>
      <c r="R23" s="26" t="str">
        <f t="shared" si="5"/>
        <v>OK</v>
      </c>
      <c r="S23" s="26">
        <v>5.0</v>
      </c>
      <c r="T23" s="26">
        <f t="shared" si="6"/>
        <v>5</v>
      </c>
      <c r="U23" s="26" t="s">
        <v>38</v>
      </c>
      <c r="V23" s="26" t="str">
        <f>IF(U23="","Unknown",IFERROR(VLOOKUP(U23,Lookup!$A$2:$B$6,2,FALSE),U23))</f>
        <v>Bank Transfer</v>
      </c>
      <c r="W23" s="26" t="s">
        <v>79</v>
      </c>
      <c r="X23" s="26" t="str">
        <f t="shared" si="7"/>
        <v>George</v>
      </c>
      <c r="Y23" s="52">
        <f t="shared" si="8"/>
        <v>-5</v>
      </c>
      <c r="Z23" s="52" t="str">
        <f t="shared" si="9"/>
        <v>Invalid - Zero Quantity</v>
      </c>
      <c r="AA23" s="52">
        <f t="shared" si="10"/>
        <v>0</v>
      </c>
      <c r="AB23" s="52">
        <f t="array" ref="AB23">_xlfn.XLOOKUP(K23,Products!$B$2:$B$5,Products!$E$2:$E$5)</f>
        <v>665</v>
      </c>
      <c r="AC23" s="52">
        <f t="shared" si="11"/>
        <v>-5</v>
      </c>
      <c r="AD23" s="52" t="str">
        <f t="shared" si="12"/>
        <v/>
      </c>
      <c r="AE23" s="53" t="str">
        <f t="shared" si="13"/>
        <v/>
      </c>
      <c r="AF23" s="54"/>
      <c r="AG23" s="54"/>
    </row>
    <row r="24" ht="14.25" customHeight="1">
      <c r="A24" s="26">
        <v>1022.0</v>
      </c>
      <c r="B24" s="26" t="str">
        <f t="shared" si="15"/>
        <v>Ok</v>
      </c>
      <c r="C24" s="26" t="s">
        <v>133</v>
      </c>
      <c r="D24" s="31">
        <v>45666.0</v>
      </c>
      <c r="E24" s="26" t="s">
        <v>134</v>
      </c>
      <c r="F24" s="26" t="str">
        <f t="shared" si="2"/>
        <v>C003</v>
      </c>
      <c r="G24" s="26" t="s">
        <v>112</v>
      </c>
      <c r="H24" s="26" t="s">
        <v>94</v>
      </c>
      <c r="I24" s="26" t="s">
        <v>54</v>
      </c>
      <c r="J24" s="26" t="str">
        <f t="array" ref="J24">_xlfn.XLOOKUP(I24,Lookup!$D$2:$D$11,Lookup!$E$2:$E$11,I24)</f>
        <v>Cluj-Napoca</v>
      </c>
      <c r="K24" s="26" t="s">
        <v>34</v>
      </c>
      <c r="L24" s="26" t="s">
        <v>33</v>
      </c>
      <c r="M24" s="26" t="str">
        <f>VLOOKUP(L24,Lookup!G:H,2,FALSE)</f>
        <v>Electronics</v>
      </c>
      <c r="N24" s="26">
        <v>25.0</v>
      </c>
      <c r="O24" s="26" t="str">
        <f t="shared" si="3"/>
        <v>OK</v>
      </c>
      <c r="P24" s="26">
        <v>120.0</v>
      </c>
      <c r="Q24" s="26">
        <f t="shared" si="4"/>
        <v>120</v>
      </c>
      <c r="R24" s="26" t="str">
        <f t="shared" si="5"/>
        <v>OK</v>
      </c>
      <c r="S24" s="26">
        <v>10.0</v>
      </c>
      <c r="T24" s="26">
        <f t="shared" si="6"/>
        <v>10</v>
      </c>
      <c r="U24" s="26"/>
      <c r="V24" s="26" t="str">
        <f>IF(U24="","Unknown",IFERROR(VLOOKUP(U24,Lookup!$A$2:$B$6,2,FALSE),U24))</f>
        <v>Unknown</v>
      </c>
      <c r="W24" s="26" t="s">
        <v>78</v>
      </c>
      <c r="X24" s="26" t="str">
        <f t="shared" si="7"/>
        <v>Andrei</v>
      </c>
      <c r="Y24" s="52">
        <f t="shared" si="8"/>
        <v>2990</v>
      </c>
      <c r="Z24" s="52" t="str">
        <f t="shared" si="9"/>
        <v>Sale</v>
      </c>
      <c r="AA24" s="52">
        <f t="shared" si="10"/>
        <v>2100</v>
      </c>
      <c r="AB24" s="52">
        <f t="array" ref="AB24">_xlfn.XLOOKUP(K24,Products!$B$2:$B$5,Products!$E$2:$E$5)</f>
        <v>84</v>
      </c>
      <c r="AC24" s="52">
        <f t="shared" si="11"/>
        <v>890</v>
      </c>
      <c r="AD24" s="52">
        <f t="shared" si="12"/>
        <v>890</v>
      </c>
      <c r="AE24" s="53">
        <f t="shared" si="13"/>
        <v>0.2976588629</v>
      </c>
      <c r="AF24" s="54"/>
      <c r="AG24" s="54"/>
    </row>
    <row r="25" ht="14.25" customHeight="1">
      <c r="A25" s="26">
        <v>1023.0</v>
      </c>
      <c r="B25" s="26" t="str">
        <f t="shared" si="15"/>
        <v>Ok</v>
      </c>
      <c r="C25" s="26" t="s">
        <v>135</v>
      </c>
      <c r="D25" s="31">
        <v>45709.0</v>
      </c>
      <c r="E25" s="26" t="s">
        <v>128</v>
      </c>
      <c r="F25" s="26" t="str">
        <f t="shared" si="2"/>
        <v>C013</v>
      </c>
      <c r="G25" s="26" t="s">
        <v>99</v>
      </c>
      <c r="H25" s="26" t="s">
        <v>95</v>
      </c>
      <c r="I25" s="26" t="s">
        <v>41</v>
      </c>
      <c r="J25" s="26" t="str">
        <f t="array" ref="J25">_xlfn.XLOOKUP(I25,Lookup!$D$2:$D$11,Lookup!$E$2:$E$11,I25)</f>
        <v>Bucuresti</v>
      </c>
      <c r="K25" s="26" t="s">
        <v>34</v>
      </c>
      <c r="L25" s="26" t="s">
        <v>33</v>
      </c>
      <c r="M25" s="26" t="str">
        <f>VLOOKUP(L25,Lookup!G:H,2,FALSE)</f>
        <v>Electronics</v>
      </c>
      <c r="N25" s="26">
        <v>0.0</v>
      </c>
      <c r="O25" s="26" t="str">
        <f t="shared" si="3"/>
        <v>Zero Quantity</v>
      </c>
      <c r="P25" s="26">
        <v>120.0</v>
      </c>
      <c r="Q25" s="26">
        <f t="shared" si="4"/>
        <v>120</v>
      </c>
      <c r="R25" s="26" t="str">
        <f t="shared" si="5"/>
        <v>OK</v>
      </c>
      <c r="S25" s="26">
        <v>15.0</v>
      </c>
      <c r="T25" s="26">
        <f t="shared" si="6"/>
        <v>15</v>
      </c>
      <c r="U25" s="26" t="s">
        <v>38</v>
      </c>
      <c r="V25" s="26" t="str">
        <f>IF(U25="","Unknown",IFERROR(VLOOKUP(U25,Lookup!$A$2:$B$6,2,FALSE),U25))</f>
        <v>Bank Transfer</v>
      </c>
      <c r="W25" s="26" t="s">
        <v>80</v>
      </c>
      <c r="X25" s="26" t="str">
        <f t="shared" si="7"/>
        <v>Maria</v>
      </c>
      <c r="Y25" s="52">
        <f t="shared" si="8"/>
        <v>-15</v>
      </c>
      <c r="Z25" s="52" t="str">
        <f t="shared" si="9"/>
        <v>Invalid - Zero Quantity</v>
      </c>
      <c r="AA25" s="52">
        <f t="shared" si="10"/>
        <v>0</v>
      </c>
      <c r="AB25" s="52">
        <f t="array" ref="AB25">_xlfn.XLOOKUP(K25,Products!$B$2:$B$5,Products!$E$2:$E$5)</f>
        <v>84</v>
      </c>
      <c r="AC25" s="52">
        <f t="shared" si="11"/>
        <v>-15</v>
      </c>
      <c r="AD25" s="52" t="str">
        <f t="shared" si="12"/>
        <v/>
      </c>
      <c r="AE25" s="53" t="str">
        <f t="shared" si="13"/>
        <v/>
      </c>
      <c r="AF25" s="54"/>
      <c r="AG25" s="54"/>
    </row>
    <row r="26" ht="14.25" customHeight="1">
      <c r="A26" s="26">
        <v>1024.0</v>
      </c>
      <c r="B26" s="26" t="str">
        <f t="shared" si="15"/>
        <v>Ok</v>
      </c>
      <c r="C26" s="26" t="s">
        <v>136</v>
      </c>
      <c r="D26" s="31">
        <v>45718.0</v>
      </c>
      <c r="E26" s="26" t="s">
        <v>137</v>
      </c>
      <c r="F26" s="26" t="str">
        <f t="shared" si="2"/>
        <v>C007</v>
      </c>
      <c r="G26" s="26" t="s">
        <v>68</v>
      </c>
      <c r="H26" s="26" t="s">
        <v>68</v>
      </c>
      <c r="I26" s="26" t="s">
        <v>31</v>
      </c>
      <c r="J26" s="26" t="str">
        <f t="array" ref="J26">_xlfn.XLOOKUP(I26,Lookup!$D$2:$D$11,Lookup!$E$2:$E$11,I26)</f>
        <v>Iasi</v>
      </c>
      <c r="K26" s="26" t="s">
        <v>34</v>
      </c>
      <c r="L26" s="26" t="s">
        <v>33</v>
      </c>
      <c r="M26" s="26" t="str">
        <f>VLOOKUP(L26,Lookup!G:H,2,FALSE)</f>
        <v>Electronics</v>
      </c>
      <c r="N26" s="26">
        <v>0.0</v>
      </c>
      <c r="O26" s="26" t="str">
        <f t="shared" si="3"/>
        <v>Zero Quantity</v>
      </c>
      <c r="P26" s="26">
        <v>-120.0</v>
      </c>
      <c r="Q26" s="26">
        <f t="shared" si="4"/>
        <v>120</v>
      </c>
      <c r="R26" s="26" t="str">
        <f t="shared" si="5"/>
        <v>Negative Quantity</v>
      </c>
      <c r="S26" s="26">
        <v>15.0</v>
      </c>
      <c r="T26" s="26">
        <f t="shared" si="6"/>
        <v>15</v>
      </c>
      <c r="U26" s="26" t="s">
        <v>53</v>
      </c>
      <c r="V26" s="26" t="str">
        <f>IF(U26="","Unknown",IFERROR(VLOOKUP(U26,Lookup!$A$2:$B$6,2,FALSE),U26))</f>
        <v>Cash</v>
      </c>
      <c r="W26" s="26" t="s">
        <v>79</v>
      </c>
      <c r="X26" s="26" t="str">
        <f t="shared" si="7"/>
        <v>George</v>
      </c>
      <c r="Y26" s="52">
        <f t="shared" si="8"/>
        <v>-15</v>
      </c>
      <c r="Z26" s="52" t="str">
        <f t="shared" si="9"/>
        <v>Invalid - Zero Quantity</v>
      </c>
      <c r="AA26" s="52">
        <f t="shared" si="10"/>
        <v>0</v>
      </c>
      <c r="AB26" s="52">
        <f t="array" ref="AB26">_xlfn.XLOOKUP(K26,Products!$B$2:$B$5,Products!$E$2:$E$5)</f>
        <v>84</v>
      </c>
      <c r="AC26" s="52">
        <f t="shared" si="11"/>
        <v>-15</v>
      </c>
      <c r="AD26" s="52" t="str">
        <f t="shared" si="12"/>
        <v/>
      </c>
      <c r="AE26" s="53" t="str">
        <f t="shared" si="13"/>
        <v/>
      </c>
      <c r="AF26" s="54"/>
      <c r="AG26" s="54"/>
    </row>
    <row r="27" ht="14.25" customHeight="1">
      <c r="A27" s="26">
        <v>1025.0</v>
      </c>
      <c r="B27" s="26" t="str">
        <f t="shared" si="15"/>
        <v>Ok</v>
      </c>
      <c r="C27" s="26" t="s">
        <v>138</v>
      </c>
      <c r="D27" s="31">
        <v>45671.0</v>
      </c>
      <c r="E27" s="26" t="s">
        <v>119</v>
      </c>
      <c r="F27" s="26" t="str">
        <f t="shared" si="2"/>
        <v>C016</v>
      </c>
      <c r="G27" s="26" t="s">
        <v>89</v>
      </c>
      <c r="H27" s="26" t="s">
        <v>97</v>
      </c>
      <c r="I27" s="26" t="s">
        <v>58</v>
      </c>
      <c r="J27" s="26" t="str">
        <f t="array" ref="J27">_xlfn.XLOOKUP(I27,Lookup!$D$2:$D$11,Lookup!$E$2:$E$11,I27)</f>
        <v>Bucuresti</v>
      </c>
      <c r="K27" s="26" t="s">
        <v>26</v>
      </c>
      <c r="L27" s="26" t="s">
        <v>24</v>
      </c>
      <c r="M27" s="26" t="str">
        <f>VLOOKUP(L27,Lookup!G:H,2,FALSE)</f>
        <v>Electronics</v>
      </c>
      <c r="N27" s="26">
        <v>2.0</v>
      </c>
      <c r="O27" s="26" t="str">
        <f t="shared" si="3"/>
        <v>OK</v>
      </c>
      <c r="P27" s="26">
        <v>3500.0</v>
      </c>
      <c r="Q27" s="26">
        <f t="shared" si="4"/>
        <v>3500</v>
      </c>
      <c r="R27" s="26" t="str">
        <f t="shared" si="5"/>
        <v>OK</v>
      </c>
      <c r="S27" s="26">
        <v>120.0</v>
      </c>
      <c r="T27" s="26">
        <f t="shared" si="6"/>
        <v>120</v>
      </c>
      <c r="U27" s="26" t="s">
        <v>37</v>
      </c>
      <c r="V27" s="26" t="str">
        <f>IF(U27="","Unknown",IFERROR(VLOOKUP(U27,Lookup!$A$2:$B$6,2,FALSE),U27))</f>
        <v>Bank Transfer</v>
      </c>
      <c r="W27" s="26" t="s">
        <v>80</v>
      </c>
      <c r="X27" s="26" t="str">
        <f t="shared" si="7"/>
        <v>Maria</v>
      </c>
      <c r="Y27" s="52">
        <f t="shared" si="8"/>
        <v>6880</v>
      </c>
      <c r="Z27" s="52" t="str">
        <f t="shared" si="9"/>
        <v>Sale</v>
      </c>
      <c r="AA27" s="52">
        <f t="shared" si="10"/>
        <v>4900</v>
      </c>
      <c r="AB27" s="52">
        <f t="array" ref="AB27">_xlfn.XLOOKUP(K27,Products!$B$2:$B$5,Products!$E$2:$E$5)</f>
        <v>2450</v>
      </c>
      <c r="AC27" s="52">
        <f t="shared" si="11"/>
        <v>1980</v>
      </c>
      <c r="AD27" s="52">
        <f t="shared" si="12"/>
        <v>1980</v>
      </c>
      <c r="AE27" s="53">
        <f t="shared" si="13"/>
        <v>0.2877906977</v>
      </c>
      <c r="AF27" s="54"/>
      <c r="AG27" s="54"/>
    </row>
    <row r="28" ht="14.25" customHeight="1">
      <c r="A28" s="26">
        <v>1026.0</v>
      </c>
      <c r="B28" s="26" t="str">
        <f t="shared" si="15"/>
        <v>Ok</v>
      </c>
      <c r="C28" s="26" t="s">
        <v>139</v>
      </c>
      <c r="D28" s="31">
        <v>45689.0</v>
      </c>
      <c r="E28" s="26" t="s">
        <v>140</v>
      </c>
      <c r="F28" s="26" t="str">
        <f t="shared" si="2"/>
        <v>C020</v>
      </c>
      <c r="G28" s="26" t="s">
        <v>141</v>
      </c>
      <c r="H28" s="26" t="s">
        <v>100</v>
      </c>
      <c r="I28" s="26" t="s">
        <v>41</v>
      </c>
      <c r="J28" s="26" t="str">
        <f t="array" ref="J28">_xlfn.XLOOKUP(I28,Lookup!$D$2:$D$11,Lookup!$E$2:$E$11,I28)</f>
        <v>Bucuresti</v>
      </c>
      <c r="K28" s="26" t="s">
        <v>26</v>
      </c>
      <c r="L28" s="26" t="s">
        <v>24</v>
      </c>
      <c r="M28" s="26" t="str">
        <f>VLOOKUP(L28,Lookup!G:H,2,FALSE)</f>
        <v>Electronics</v>
      </c>
      <c r="N28" s="26">
        <v>-1.0</v>
      </c>
      <c r="O28" s="26" t="str">
        <f t="shared" si="3"/>
        <v>Negative Quantity</v>
      </c>
      <c r="P28" s="26">
        <v>3500.0</v>
      </c>
      <c r="Q28" s="26">
        <f t="shared" si="4"/>
        <v>3500</v>
      </c>
      <c r="R28" s="26" t="str">
        <f t="shared" si="5"/>
        <v>OK</v>
      </c>
      <c r="S28" s="26">
        <v>120.0</v>
      </c>
      <c r="T28" s="26">
        <f t="shared" si="6"/>
        <v>120</v>
      </c>
      <c r="U28" s="26" t="s">
        <v>37</v>
      </c>
      <c r="V28" s="26" t="str">
        <f>IF(U28="","Unknown",IFERROR(VLOOKUP(U28,Lookup!$A$2:$B$6,2,FALSE),U28))</f>
        <v>Bank Transfer</v>
      </c>
      <c r="W28" s="26" t="s">
        <v>80</v>
      </c>
      <c r="X28" s="26" t="str">
        <f t="shared" si="7"/>
        <v>Maria</v>
      </c>
      <c r="Y28" s="52">
        <f t="shared" si="8"/>
        <v>-3620</v>
      </c>
      <c r="Z28" s="52" t="str">
        <f t="shared" si="9"/>
        <v>Possible Return</v>
      </c>
      <c r="AA28" s="52">
        <f t="shared" si="10"/>
        <v>-2450</v>
      </c>
      <c r="AB28" s="52">
        <f t="array" ref="AB28">_xlfn.XLOOKUP(K28,Products!$B$2:$B$5,Products!$E$2:$E$5)</f>
        <v>2450</v>
      </c>
      <c r="AC28" s="52">
        <f t="shared" si="11"/>
        <v>-1170</v>
      </c>
      <c r="AD28" s="52" t="str">
        <f t="shared" si="12"/>
        <v/>
      </c>
      <c r="AE28" s="53" t="str">
        <f t="shared" si="13"/>
        <v/>
      </c>
      <c r="AF28" s="54"/>
      <c r="AG28" s="54"/>
    </row>
    <row r="29" ht="14.25" customHeight="1">
      <c r="A29" s="26">
        <v>1027.0</v>
      </c>
      <c r="B29" s="26" t="str">
        <f t="shared" si="15"/>
        <v>Ok</v>
      </c>
      <c r="C29" s="26" t="s">
        <v>142</v>
      </c>
      <c r="D29" s="31">
        <v>45700.0</v>
      </c>
      <c r="E29" s="26" t="s">
        <v>121</v>
      </c>
      <c r="F29" s="26" t="str">
        <f t="shared" si="2"/>
        <v>C024</v>
      </c>
      <c r="G29" s="26" t="s">
        <v>112</v>
      </c>
      <c r="H29" s="26" t="s">
        <v>94</v>
      </c>
      <c r="I29" s="26" t="s">
        <v>22</v>
      </c>
      <c r="J29" s="26" t="str">
        <f t="array" ref="J29">_xlfn.XLOOKUP(I29,Lookup!$D$2:$D$11,Lookup!$E$2:$E$11,I29)</f>
        <v>Cluj-Napoca</v>
      </c>
      <c r="K29" s="26" t="s">
        <v>26</v>
      </c>
      <c r="L29" s="26" t="s">
        <v>24</v>
      </c>
      <c r="M29" s="26" t="str">
        <f>VLOOKUP(L29,Lookup!G:H,2,FALSE)</f>
        <v>Electronics</v>
      </c>
      <c r="N29" s="26">
        <v>0.0</v>
      </c>
      <c r="O29" s="26" t="str">
        <f t="shared" si="3"/>
        <v>Zero Quantity</v>
      </c>
      <c r="P29" s="26">
        <v>3500.0</v>
      </c>
      <c r="Q29" s="26">
        <f t="shared" si="4"/>
        <v>3500</v>
      </c>
      <c r="R29" s="26" t="str">
        <f t="shared" si="5"/>
        <v>OK</v>
      </c>
      <c r="S29" s="26">
        <v>15.0</v>
      </c>
      <c r="T29" s="26">
        <f t="shared" si="6"/>
        <v>15</v>
      </c>
      <c r="U29" s="26" t="s">
        <v>37</v>
      </c>
      <c r="V29" s="26" t="str">
        <f>IF(U29="","Unknown",IFERROR(VLOOKUP(U29,Lookup!$A$2:$B$6,2,FALSE),U29))</f>
        <v>Bank Transfer</v>
      </c>
      <c r="W29" s="26"/>
      <c r="X29" s="26" t="str">
        <f t="shared" si="7"/>
        <v>Unknown</v>
      </c>
      <c r="Y29" s="52">
        <f t="shared" si="8"/>
        <v>-15</v>
      </c>
      <c r="Z29" s="52" t="str">
        <f t="shared" si="9"/>
        <v>Invalid - Zero Quantity</v>
      </c>
      <c r="AA29" s="52">
        <f t="shared" si="10"/>
        <v>0</v>
      </c>
      <c r="AB29" s="52">
        <f t="array" ref="AB29">_xlfn.XLOOKUP(K29,Products!$B$2:$B$5,Products!$E$2:$E$5)</f>
        <v>2450</v>
      </c>
      <c r="AC29" s="52">
        <f t="shared" si="11"/>
        <v>-15</v>
      </c>
      <c r="AD29" s="52" t="str">
        <f t="shared" si="12"/>
        <v/>
      </c>
      <c r="AE29" s="53" t="str">
        <f t="shared" si="13"/>
        <v/>
      </c>
      <c r="AF29" s="54"/>
      <c r="AG29" s="54"/>
    </row>
    <row r="30" ht="14.25" customHeight="1">
      <c r="A30" s="26">
        <v>1028.0</v>
      </c>
      <c r="B30" s="26" t="str">
        <f t="shared" si="15"/>
        <v>Ok</v>
      </c>
      <c r="C30" s="26" t="s">
        <v>143</v>
      </c>
      <c r="D30" s="31">
        <v>45705.0</v>
      </c>
      <c r="E30" s="26" t="s">
        <v>107</v>
      </c>
      <c r="F30" s="26" t="str">
        <f t="shared" si="2"/>
        <v>C014</v>
      </c>
      <c r="G30" s="26" t="s">
        <v>89</v>
      </c>
      <c r="H30" s="26" t="s">
        <v>97</v>
      </c>
      <c r="I30" s="26" t="s">
        <v>58</v>
      </c>
      <c r="J30" s="26" t="str">
        <f t="array" ref="J30">_xlfn.XLOOKUP(I30,Lookup!$D$2:$D$11,Lookup!$E$2:$E$11,I30)</f>
        <v>Bucuresti</v>
      </c>
      <c r="K30" s="26" t="s">
        <v>26</v>
      </c>
      <c r="L30" s="26" t="s">
        <v>24</v>
      </c>
      <c r="M30" s="26" t="str">
        <f>VLOOKUP(L30,Lookup!G:H,2,FALSE)</f>
        <v>Electronics</v>
      </c>
      <c r="N30" s="26">
        <v>4.0</v>
      </c>
      <c r="O30" s="26" t="str">
        <f t="shared" si="3"/>
        <v>OK</v>
      </c>
      <c r="P30" s="26">
        <v>3500.0</v>
      </c>
      <c r="Q30" s="26">
        <f t="shared" si="4"/>
        <v>3500</v>
      </c>
      <c r="R30" s="26" t="str">
        <f t="shared" si="5"/>
        <v>OK</v>
      </c>
      <c r="S30" s="26">
        <v>15.0</v>
      </c>
      <c r="T30" s="26">
        <f t="shared" si="6"/>
        <v>15</v>
      </c>
      <c r="U30" s="26" t="s">
        <v>13</v>
      </c>
      <c r="V30" s="26" t="str">
        <f>IF(U30="","Unknown",IFERROR(VLOOKUP(U30,Lookup!$A$2:$B$6,2,FALSE),U30))</f>
        <v>Card</v>
      </c>
      <c r="W30" s="26" t="s">
        <v>79</v>
      </c>
      <c r="X30" s="26" t="str">
        <f t="shared" si="7"/>
        <v>George</v>
      </c>
      <c r="Y30" s="52">
        <f t="shared" si="8"/>
        <v>13985</v>
      </c>
      <c r="Z30" s="52" t="str">
        <f t="shared" si="9"/>
        <v>Sale</v>
      </c>
      <c r="AA30" s="52">
        <f t="shared" si="10"/>
        <v>9800</v>
      </c>
      <c r="AB30" s="52">
        <f t="array" ref="AB30">_xlfn.XLOOKUP(K30,Products!$B$2:$B$5,Products!$E$2:$E$5)</f>
        <v>2450</v>
      </c>
      <c r="AC30" s="52">
        <f t="shared" si="11"/>
        <v>4185</v>
      </c>
      <c r="AD30" s="52">
        <f t="shared" si="12"/>
        <v>4185</v>
      </c>
      <c r="AE30" s="53">
        <f t="shared" si="13"/>
        <v>0.2992491956</v>
      </c>
      <c r="AF30" s="54"/>
      <c r="AG30" s="54"/>
    </row>
    <row r="31" ht="14.25" customHeight="1">
      <c r="A31" s="26">
        <v>1029.0</v>
      </c>
      <c r="B31" s="26" t="str">
        <f t="shared" si="15"/>
        <v>Ok</v>
      </c>
      <c r="C31" s="26" t="s">
        <v>144</v>
      </c>
      <c r="D31" s="31">
        <v>45688.0</v>
      </c>
      <c r="E31" s="26" t="s">
        <v>145</v>
      </c>
      <c r="F31" s="26" t="str">
        <f t="shared" si="2"/>
        <v>C017</v>
      </c>
      <c r="G31" s="26" t="s">
        <v>112</v>
      </c>
      <c r="H31" s="26" t="s">
        <v>94</v>
      </c>
      <c r="I31" s="26" t="s">
        <v>54</v>
      </c>
      <c r="J31" s="26" t="str">
        <f t="array" ref="J31">_xlfn.XLOOKUP(I31,Lookup!$D$2:$D$11,Lookup!$E$2:$E$11,I31)</f>
        <v>Cluj-Napoca</v>
      </c>
      <c r="K31" s="26" t="s">
        <v>34</v>
      </c>
      <c r="L31" s="26" t="s">
        <v>33</v>
      </c>
      <c r="M31" s="26" t="str">
        <f>VLOOKUP(L31,Lookup!G:H,2,FALSE)</f>
        <v>Electronics</v>
      </c>
      <c r="N31" s="26">
        <v>25.0</v>
      </c>
      <c r="O31" s="26" t="str">
        <f t="shared" si="3"/>
        <v>OK</v>
      </c>
      <c r="P31" s="26">
        <v>120.0</v>
      </c>
      <c r="Q31" s="26">
        <f t="shared" si="4"/>
        <v>120</v>
      </c>
      <c r="R31" s="26" t="str">
        <f t="shared" si="5"/>
        <v>OK</v>
      </c>
      <c r="S31" s="26">
        <v>5.0</v>
      </c>
      <c r="T31" s="26">
        <f t="shared" si="6"/>
        <v>5</v>
      </c>
      <c r="U31" s="26" t="s">
        <v>53</v>
      </c>
      <c r="V31" s="26" t="str">
        <f>IF(U31="","Unknown",IFERROR(VLOOKUP(U31,Lookup!$A$2:$B$6,2,FALSE),U31))</f>
        <v>Cash</v>
      </c>
      <c r="W31" s="26" t="s">
        <v>78</v>
      </c>
      <c r="X31" s="26" t="str">
        <f t="shared" si="7"/>
        <v>Andrei</v>
      </c>
      <c r="Y31" s="52">
        <f t="shared" si="8"/>
        <v>2995</v>
      </c>
      <c r="Z31" s="52" t="str">
        <f t="shared" si="9"/>
        <v>Sale</v>
      </c>
      <c r="AA31" s="52">
        <f t="shared" si="10"/>
        <v>2100</v>
      </c>
      <c r="AB31" s="52">
        <f t="array" ref="AB31">_xlfn.XLOOKUP(K31,Products!$B$2:$B$5,Products!$E$2:$E$5)</f>
        <v>84</v>
      </c>
      <c r="AC31" s="52">
        <f t="shared" si="11"/>
        <v>895</v>
      </c>
      <c r="AD31" s="52">
        <f t="shared" si="12"/>
        <v>895</v>
      </c>
      <c r="AE31" s="53">
        <f t="shared" si="13"/>
        <v>0.2988313856</v>
      </c>
      <c r="AF31" s="54"/>
      <c r="AG31" s="54"/>
    </row>
    <row r="32" ht="14.25" customHeight="1">
      <c r="A32" s="26">
        <v>1030.0</v>
      </c>
      <c r="B32" s="26" t="str">
        <f t="shared" si="15"/>
        <v>Ok</v>
      </c>
      <c r="C32" s="26" t="s">
        <v>101</v>
      </c>
      <c r="D32" s="31">
        <v>45672.0</v>
      </c>
      <c r="E32" s="26" t="s">
        <v>140</v>
      </c>
      <c r="F32" s="26" t="str">
        <f t="shared" si="2"/>
        <v>C020</v>
      </c>
      <c r="G32" s="26" t="s">
        <v>89</v>
      </c>
      <c r="H32" s="26" t="s">
        <v>97</v>
      </c>
      <c r="I32" s="26" t="s">
        <v>22</v>
      </c>
      <c r="J32" s="26" t="str">
        <f t="array" ref="J32">_xlfn.XLOOKUP(I32,Lookup!$D$2:$D$11,Lookup!$E$2:$E$11,I32)</f>
        <v>Cluj-Napoca</v>
      </c>
      <c r="K32" s="26" t="s">
        <v>34</v>
      </c>
      <c r="L32" s="26" t="s">
        <v>33</v>
      </c>
      <c r="M32" s="26" t="str">
        <f>VLOOKUP(L32,Lookup!G:H,2,FALSE)</f>
        <v>Electronics</v>
      </c>
      <c r="N32" s="26">
        <v>-1.0</v>
      </c>
      <c r="O32" s="26" t="str">
        <f t="shared" si="3"/>
        <v>Negative Quantity</v>
      </c>
      <c r="P32" s="26">
        <v>120.0</v>
      </c>
      <c r="Q32" s="26">
        <f t="shared" si="4"/>
        <v>120</v>
      </c>
      <c r="R32" s="26" t="str">
        <f t="shared" si="5"/>
        <v>OK</v>
      </c>
      <c r="S32" s="26"/>
      <c r="T32" s="26" t="str">
        <f t="shared" si="6"/>
        <v>0</v>
      </c>
      <c r="U32" s="26"/>
      <c r="V32" s="26" t="str">
        <f>IF(U32="","Unknown",IFERROR(VLOOKUP(U32,Lookup!$A$2:$B$6,2,FALSE),U32))</f>
        <v>Unknown</v>
      </c>
      <c r="W32" s="26" t="s">
        <v>78</v>
      </c>
      <c r="X32" s="26" t="str">
        <f t="shared" si="7"/>
        <v>Andrei</v>
      </c>
      <c r="Y32" s="52">
        <f t="shared" si="8"/>
        <v>-120</v>
      </c>
      <c r="Z32" s="52" t="str">
        <f t="shared" si="9"/>
        <v>Possible Return</v>
      </c>
      <c r="AA32" s="52">
        <f t="shared" si="10"/>
        <v>-84</v>
      </c>
      <c r="AB32" s="52">
        <f t="array" ref="AB32">_xlfn.XLOOKUP(K32,Products!$B$2:$B$5,Products!$E$2:$E$5)</f>
        <v>84</v>
      </c>
      <c r="AC32" s="52">
        <f t="shared" si="11"/>
        <v>-36</v>
      </c>
      <c r="AD32" s="52" t="str">
        <f t="shared" si="12"/>
        <v/>
      </c>
      <c r="AE32" s="53" t="str">
        <f t="shared" si="13"/>
        <v/>
      </c>
      <c r="AF32" s="54"/>
      <c r="AG32" s="54"/>
    </row>
    <row r="33" ht="14.25" customHeight="1">
      <c r="A33" s="26">
        <v>1031.0</v>
      </c>
      <c r="B33" s="26" t="str">
        <f t="shared" si="15"/>
        <v>Ok</v>
      </c>
      <c r="C33" s="26" t="s">
        <v>146</v>
      </c>
      <c r="D33" s="31">
        <v>45685.0</v>
      </c>
      <c r="E33" s="26" t="s">
        <v>92</v>
      </c>
      <c r="F33" s="26" t="str">
        <f t="shared" si="2"/>
        <v>C002</v>
      </c>
      <c r="G33" s="26" t="s">
        <v>93</v>
      </c>
      <c r="H33" s="26" t="s">
        <v>94</v>
      </c>
      <c r="I33" s="26" t="s">
        <v>48</v>
      </c>
      <c r="J33" s="26" t="str">
        <f t="array" ref="J33">_xlfn.XLOOKUP(I33,Lookup!$D$2:$D$11,Lookup!$E$2:$E$11,I33)</f>
        <v>Bucuresti</v>
      </c>
      <c r="K33" s="26" t="s">
        <v>44</v>
      </c>
      <c r="L33" s="26" t="s">
        <v>42</v>
      </c>
      <c r="M33" s="26" t="str">
        <f>VLOOKUP(L33,Lookup!G:H,2,FALSE)</f>
        <v>Electronics</v>
      </c>
      <c r="N33" s="26">
        <v>-1.0</v>
      </c>
      <c r="O33" s="26" t="str">
        <f t="shared" si="3"/>
        <v>Negative Quantity</v>
      </c>
      <c r="P33" s="26">
        <v>950.0</v>
      </c>
      <c r="Q33" s="26">
        <f t="shared" si="4"/>
        <v>950</v>
      </c>
      <c r="R33" s="26" t="str">
        <f t="shared" si="5"/>
        <v>OK</v>
      </c>
      <c r="S33" s="26">
        <v>10.0</v>
      </c>
      <c r="T33" s="26">
        <f t="shared" si="6"/>
        <v>10</v>
      </c>
      <c r="U33" s="26" t="s">
        <v>16</v>
      </c>
      <c r="V33" s="26" t="str">
        <f>IF(U33="","Unknown",IFERROR(VLOOKUP(U33,Lookup!$A$2:$B$6,2,FALSE),U33))</f>
        <v>Card</v>
      </c>
      <c r="W33" s="26" t="s">
        <v>78</v>
      </c>
      <c r="X33" s="26" t="str">
        <f t="shared" si="7"/>
        <v>Andrei</v>
      </c>
      <c r="Y33" s="52">
        <f t="shared" si="8"/>
        <v>-960</v>
      </c>
      <c r="Z33" s="52" t="str">
        <f t="shared" si="9"/>
        <v>Possible Return</v>
      </c>
      <c r="AA33" s="52">
        <f t="shared" si="10"/>
        <v>-665</v>
      </c>
      <c r="AB33" s="52">
        <f t="array" ref="AB33">_xlfn.XLOOKUP(K33,Products!$B$2:$B$5,Products!$E$2:$E$5)</f>
        <v>665</v>
      </c>
      <c r="AC33" s="52">
        <f t="shared" si="11"/>
        <v>-295</v>
      </c>
      <c r="AD33" s="52" t="str">
        <f t="shared" si="12"/>
        <v/>
      </c>
      <c r="AE33" s="53" t="str">
        <f t="shared" si="13"/>
        <v/>
      </c>
      <c r="AF33" s="54"/>
      <c r="AG33" s="54"/>
    </row>
    <row r="34" ht="14.25" customHeight="1">
      <c r="A34" s="26">
        <v>1032.0</v>
      </c>
      <c r="B34" s="26" t="str">
        <f t="shared" si="15"/>
        <v>Ok</v>
      </c>
      <c r="C34" s="26" t="s">
        <v>147</v>
      </c>
      <c r="D34" s="31">
        <v>45708.0</v>
      </c>
      <c r="E34" s="26" t="s">
        <v>130</v>
      </c>
      <c r="F34" s="26" t="str">
        <f t="shared" si="2"/>
        <v>C008</v>
      </c>
      <c r="G34" s="26" t="s">
        <v>93</v>
      </c>
      <c r="H34" s="26" t="s">
        <v>94</v>
      </c>
      <c r="I34" s="26" t="s">
        <v>48</v>
      </c>
      <c r="J34" s="26" t="str">
        <f t="array" ref="J34">_xlfn.XLOOKUP(I34,Lookup!$D$2:$D$11,Lookup!$E$2:$E$11,I34)</f>
        <v>Bucuresti</v>
      </c>
      <c r="K34" s="26" t="s">
        <v>44</v>
      </c>
      <c r="L34" s="26" t="s">
        <v>42</v>
      </c>
      <c r="M34" s="26" t="str">
        <f>VLOOKUP(L34,Lookup!G:H,2,FALSE)</f>
        <v>Electronics</v>
      </c>
      <c r="N34" s="26">
        <v>-1.0</v>
      </c>
      <c r="O34" s="26" t="str">
        <f t="shared" si="3"/>
        <v>Negative Quantity</v>
      </c>
      <c r="P34" s="26">
        <v>950.0</v>
      </c>
      <c r="Q34" s="26">
        <f t="shared" si="4"/>
        <v>950</v>
      </c>
      <c r="R34" s="26" t="str">
        <f t="shared" si="5"/>
        <v>OK</v>
      </c>
      <c r="S34" s="26">
        <v>15.0</v>
      </c>
      <c r="T34" s="26">
        <f t="shared" si="6"/>
        <v>15</v>
      </c>
      <c r="U34" s="26" t="s">
        <v>13</v>
      </c>
      <c r="V34" s="26" t="str">
        <f>IF(U34="","Unknown",IFERROR(VLOOKUP(U34,Lookup!$A$2:$B$6,2,FALSE),U34))</f>
        <v>Card</v>
      </c>
      <c r="W34" s="26" t="s">
        <v>79</v>
      </c>
      <c r="X34" s="26" t="str">
        <f t="shared" si="7"/>
        <v>George</v>
      </c>
      <c r="Y34" s="52">
        <f t="shared" si="8"/>
        <v>-965</v>
      </c>
      <c r="Z34" s="52" t="str">
        <f t="shared" si="9"/>
        <v>Possible Return</v>
      </c>
      <c r="AA34" s="52">
        <f t="shared" si="10"/>
        <v>-665</v>
      </c>
      <c r="AB34" s="52">
        <f t="array" ref="AB34">_xlfn.XLOOKUP(K34,Products!$B$2:$B$5,Products!$E$2:$E$5)</f>
        <v>665</v>
      </c>
      <c r="AC34" s="52">
        <f t="shared" si="11"/>
        <v>-300</v>
      </c>
      <c r="AD34" s="52" t="str">
        <f t="shared" si="12"/>
        <v/>
      </c>
      <c r="AE34" s="53" t="str">
        <f t="shared" si="13"/>
        <v/>
      </c>
      <c r="AF34" s="54"/>
      <c r="AG34" s="54"/>
    </row>
    <row r="35" ht="14.25" customHeight="1">
      <c r="A35" s="26">
        <v>1033.0</v>
      </c>
      <c r="B35" s="26" t="str">
        <f t="shared" si="15"/>
        <v>Ok</v>
      </c>
      <c r="C35" s="26" t="s">
        <v>148</v>
      </c>
      <c r="D35" s="31">
        <v>45672.0</v>
      </c>
      <c r="E35" s="26" t="s">
        <v>116</v>
      </c>
      <c r="F35" s="26" t="str">
        <f t="shared" si="2"/>
        <v>C022</v>
      </c>
      <c r="G35" s="26" t="s">
        <v>149</v>
      </c>
      <c r="H35" s="26" t="s">
        <v>100</v>
      </c>
      <c r="I35" s="26" t="s">
        <v>58</v>
      </c>
      <c r="J35" s="26" t="str">
        <f t="array" ref="J35">_xlfn.XLOOKUP(I35,Lookup!$D$2:$D$11,Lookup!$E$2:$E$11,I35)</f>
        <v>Bucuresti</v>
      </c>
      <c r="K35" s="26" t="s">
        <v>44</v>
      </c>
      <c r="L35" s="26" t="s">
        <v>42</v>
      </c>
      <c r="M35" s="26" t="str">
        <f>VLOOKUP(L35,Lookup!G:H,2,FALSE)</f>
        <v>Electronics</v>
      </c>
      <c r="N35" s="26">
        <v>25.0</v>
      </c>
      <c r="O35" s="26" t="str">
        <f t="shared" si="3"/>
        <v>OK</v>
      </c>
      <c r="P35" s="26">
        <v>-950.0</v>
      </c>
      <c r="Q35" s="26">
        <f t="shared" si="4"/>
        <v>950</v>
      </c>
      <c r="R35" s="26" t="str">
        <f t="shared" si="5"/>
        <v>Negative Quantity</v>
      </c>
      <c r="S35" s="26"/>
      <c r="T35" s="26" t="str">
        <f t="shared" si="6"/>
        <v>0</v>
      </c>
      <c r="U35" s="26" t="s">
        <v>37</v>
      </c>
      <c r="V35" s="26" t="str">
        <f>IF(U35="","Unknown",IFERROR(VLOOKUP(U35,Lookup!$A$2:$B$6,2,FALSE),U35))</f>
        <v>Bank Transfer</v>
      </c>
      <c r="W35" s="26" t="s">
        <v>80</v>
      </c>
      <c r="X35" s="26" t="str">
        <f t="shared" si="7"/>
        <v>Maria</v>
      </c>
      <c r="Y35" s="52">
        <f t="shared" si="8"/>
        <v>23750</v>
      </c>
      <c r="Z35" s="52" t="str">
        <f t="shared" si="9"/>
        <v>Sale</v>
      </c>
      <c r="AA35" s="52">
        <f t="shared" si="10"/>
        <v>16625</v>
      </c>
      <c r="AB35" s="52">
        <f t="array" ref="AB35">_xlfn.XLOOKUP(K35,Products!$B$2:$B$5,Products!$E$2:$E$5)</f>
        <v>665</v>
      </c>
      <c r="AC35" s="52">
        <f t="shared" si="11"/>
        <v>7125</v>
      </c>
      <c r="AD35" s="52">
        <f t="shared" si="12"/>
        <v>7125</v>
      </c>
      <c r="AE35" s="53">
        <f t="shared" si="13"/>
        <v>0.3</v>
      </c>
      <c r="AF35" s="54"/>
      <c r="AG35" s="54"/>
    </row>
    <row r="36" ht="14.25" customHeight="1">
      <c r="A36" s="26">
        <v>1034.0</v>
      </c>
      <c r="B36" s="26" t="str">
        <f t="shared" si="15"/>
        <v>Ok</v>
      </c>
      <c r="C36" s="26" t="s">
        <v>150</v>
      </c>
      <c r="D36" s="31">
        <v>45675.0</v>
      </c>
      <c r="E36" s="26" t="s">
        <v>117</v>
      </c>
      <c r="F36" s="26" t="str">
        <f t="shared" si="2"/>
        <v>C021</v>
      </c>
      <c r="G36" s="26" t="s">
        <v>102</v>
      </c>
      <c r="H36" s="26" t="s">
        <v>95</v>
      </c>
      <c r="I36" s="26" t="s">
        <v>48</v>
      </c>
      <c r="J36" s="26" t="str">
        <f t="array" ref="J36">_xlfn.XLOOKUP(I36,Lookup!$D$2:$D$11,Lookup!$E$2:$E$11,I36)</f>
        <v>Bucuresti</v>
      </c>
      <c r="K36" s="26" t="s">
        <v>51</v>
      </c>
      <c r="L36" s="26" t="s">
        <v>49</v>
      </c>
      <c r="M36" s="26" t="str">
        <f>VLOOKUP(L36,Lookup!G:H,2,FALSE)</f>
        <v>Furniture</v>
      </c>
      <c r="N36" s="26">
        <v>4.0</v>
      </c>
      <c r="O36" s="26" t="str">
        <f t="shared" si="3"/>
        <v>OK</v>
      </c>
      <c r="P36" s="26">
        <v>800.0</v>
      </c>
      <c r="Q36" s="26">
        <f t="shared" si="4"/>
        <v>800</v>
      </c>
      <c r="R36" s="26" t="str">
        <f t="shared" si="5"/>
        <v>OK</v>
      </c>
      <c r="S36" s="26">
        <v>15.0</v>
      </c>
      <c r="T36" s="26">
        <f t="shared" si="6"/>
        <v>15</v>
      </c>
      <c r="U36" s="26" t="s">
        <v>16</v>
      </c>
      <c r="V36" s="26" t="str">
        <f>IF(U36="","Unknown",IFERROR(VLOOKUP(U36,Lookup!$A$2:$B$6,2,FALSE),U36))</f>
        <v>Card</v>
      </c>
      <c r="W36" s="26" t="s">
        <v>79</v>
      </c>
      <c r="X36" s="26" t="str">
        <f t="shared" si="7"/>
        <v>George</v>
      </c>
      <c r="Y36" s="52">
        <f t="shared" si="8"/>
        <v>3185</v>
      </c>
      <c r="Z36" s="52" t="str">
        <f t="shared" si="9"/>
        <v>Sale</v>
      </c>
      <c r="AA36" s="52">
        <f t="shared" si="10"/>
        <v>2240</v>
      </c>
      <c r="AB36" s="52">
        <f t="array" ref="AB36">_xlfn.XLOOKUP(K36,Products!$B$2:$B$5,Products!$E$2:$E$5)</f>
        <v>560</v>
      </c>
      <c r="AC36" s="52">
        <f t="shared" si="11"/>
        <v>945</v>
      </c>
      <c r="AD36" s="52">
        <f t="shared" si="12"/>
        <v>945</v>
      </c>
      <c r="AE36" s="53">
        <f t="shared" si="13"/>
        <v>0.2967032967</v>
      </c>
      <c r="AF36" s="54"/>
      <c r="AG36" s="54"/>
    </row>
    <row r="37" ht="14.25" customHeight="1">
      <c r="A37" s="26">
        <v>1035.0</v>
      </c>
      <c r="B37" s="26" t="str">
        <f t="shared" si="15"/>
        <v>Ok</v>
      </c>
      <c r="C37" s="26" t="s">
        <v>151</v>
      </c>
      <c r="D37" s="31">
        <v>45696.0</v>
      </c>
      <c r="E37" s="26" t="s">
        <v>116</v>
      </c>
      <c r="F37" s="26" t="str">
        <f t="shared" si="2"/>
        <v>C022</v>
      </c>
      <c r="G37" s="26" t="s">
        <v>141</v>
      </c>
      <c r="H37" s="26" t="s">
        <v>100</v>
      </c>
      <c r="I37" s="26" t="s">
        <v>39</v>
      </c>
      <c r="J37" s="26" t="str">
        <f t="array" ref="J37">_xlfn.XLOOKUP(I37,Lookup!$D$2:$D$11,Lookup!$E$2:$E$11,I37)</f>
        <v>Bucuresti</v>
      </c>
      <c r="K37" s="26" t="s">
        <v>51</v>
      </c>
      <c r="L37" s="26" t="s">
        <v>49</v>
      </c>
      <c r="M37" s="26" t="str">
        <f>VLOOKUP(L37,Lookup!G:H,2,FALSE)</f>
        <v>Furniture</v>
      </c>
      <c r="N37" s="26">
        <v>-1.0</v>
      </c>
      <c r="O37" s="26" t="str">
        <f t="shared" si="3"/>
        <v>Negative Quantity</v>
      </c>
      <c r="P37" s="26">
        <v>800.0</v>
      </c>
      <c r="Q37" s="26">
        <f t="shared" si="4"/>
        <v>800</v>
      </c>
      <c r="R37" s="26" t="str">
        <f t="shared" si="5"/>
        <v>OK</v>
      </c>
      <c r="S37" s="26">
        <v>5.0</v>
      </c>
      <c r="T37" s="26">
        <f t="shared" si="6"/>
        <v>5</v>
      </c>
      <c r="U37" s="26" t="s">
        <v>16</v>
      </c>
      <c r="V37" s="26" t="str">
        <f>IF(U37="","Unknown",IFERROR(VLOOKUP(U37,Lookup!$A$2:$B$6,2,FALSE),U37))</f>
        <v>Card</v>
      </c>
      <c r="W37" s="26" t="s">
        <v>79</v>
      </c>
      <c r="X37" s="26" t="str">
        <f t="shared" si="7"/>
        <v>George</v>
      </c>
      <c r="Y37" s="52">
        <f t="shared" si="8"/>
        <v>-805</v>
      </c>
      <c r="Z37" s="52" t="str">
        <f t="shared" si="9"/>
        <v>Possible Return</v>
      </c>
      <c r="AA37" s="52">
        <f t="shared" si="10"/>
        <v>-560</v>
      </c>
      <c r="AB37" s="52">
        <f t="array" ref="AB37">_xlfn.XLOOKUP(K37,Products!$B$2:$B$5,Products!$E$2:$E$5)</f>
        <v>560</v>
      </c>
      <c r="AC37" s="52">
        <f t="shared" si="11"/>
        <v>-245</v>
      </c>
      <c r="AD37" s="52" t="str">
        <f t="shared" si="12"/>
        <v/>
      </c>
      <c r="AE37" s="53" t="str">
        <f t="shared" si="13"/>
        <v/>
      </c>
      <c r="AF37" s="54"/>
      <c r="AG37" s="54"/>
    </row>
    <row r="38" ht="14.25" customHeight="1">
      <c r="A38" s="26">
        <v>1036.0</v>
      </c>
      <c r="B38" s="26" t="str">
        <f t="shared" si="15"/>
        <v>Ok</v>
      </c>
      <c r="C38" s="26" t="s">
        <v>142</v>
      </c>
      <c r="D38" s="31">
        <v>45700.0</v>
      </c>
      <c r="E38" s="26" t="s">
        <v>130</v>
      </c>
      <c r="F38" s="26" t="str">
        <f t="shared" si="2"/>
        <v>C008</v>
      </c>
      <c r="G38" s="26" t="s">
        <v>103</v>
      </c>
      <c r="H38" s="26" t="s">
        <v>103</v>
      </c>
      <c r="I38" s="26" t="s">
        <v>58</v>
      </c>
      <c r="J38" s="26" t="str">
        <f t="array" ref="J38">_xlfn.XLOOKUP(I38,Lookup!$D$2:$D$11,Lookup!$E$2:$E$11,I38)</f>
        <v>Bucuresti</v>
      </c>
      <c r="K38" s="26" t="s">
        <v>51</v>
      </c>
      <c r="L38" s="26" t="s">
        <v>49</v>
      </c>
      <c r="M38" s="26" t="str">
        <f>VLOOKUP(L38,Lookup!G:H,2,FALSE)</f>
        <v>Furniture</v>
      </c>
      <c r="N38" s="26">
        <v>0.0</v>
      </c>
      <c r="O38" s="26" t="str">
        <f t="shared" si="3"/>
        <v>Zero Quantity</v>
      </c>
      <c r="P38" s="26">
        <v>800.0</v>
      </c>
      <c r="Q38" s="26">
        <f t="shared" si="4"/>
        <v>800</v>
      </c>
      <c r="R38" s="26" t="str">
        <f t="shared" si="5"/>
        <v>OK</v>
      </c>
      <c r="S38" s="26">
        <v>10.0</v>
      </c>
      <c r="T38" s="26">
        <f t="shared" si="6"/>
        <v>10</v>
      </c>
      <c r="U38" s="26" t="s">
        <v>16</v>
      </c>
      <c r="V38" s="26" t="str">
        <f>IF(U38="","Unknown",IFERROR(VLOOKUP(U38,Lookup!$A$2:$B$6,2,FALSE),U38))</f>
        <v>Card</v>
      </c>
      <c r="W38" s="26" t="s">
        <v>80</v>
      </c>
      <c r="X38" s="26" t="str">
        <f t="shared" si="7"/>
        <v>Maria</v>
      </c>
      <c r="Y38" s="52">
        <f t="shared" si="8"/>
        <v>-10</v>
      </c>
      <c r="Z38" s="52" t="str">
        <f t="shared" si="9"/>
        <v>Invalid - Zero Quantity</v>
      </c>
      <c r="AA38" s="52">
        <f t="shared" si="10"/>
        <v>0</v>
      </c>
      <c r="AB38" s="52">
        <f t="array" ref="AB38">_xlfn.XLOOKUP(K38,Products!$B$2:$B$5,Products!$E$2:$E$5)</f>
        <v>560</v>
      </c>
      <c r="AC38" s="52">
        <f t="shared" si="11"/>
        <v>-10</v>
      </c>
      <c r="AD38" s="52" t="str">
        <f t="shared" si="12"/>
        <v/>
      </c>
      <c r="AE38" s="53" t="str">
        <f t="shared" si="13"/>
        <v/>
      </c>
      <c r="AF38" s="54"/>
      <c r="AG38" s="54"/>
    </row>
    <row r="39" ht="14.25" customHeight="1">
      <c r="A39" s="26">
        <v>1037.0</v>
      </c>
      <c r="B39" s="26" t="str">
        <f t="shared" si="15"/>
        <v>Ok</v>
      </c>
      <c r="C39" s="26" t="s">
        <v>152</v>
      </c>
      <c r="D39" s="31">
        <v>45686.0</v>
      </c>
      <c r="E39" s="26" t="s">
        <v>92</v>
      </c>
      <c r="F39" s="26" t="str">
        <f t="shared" si="2"/>
        <v>C002</v>
      </c>
      <c r="G39" s="26" t="s">
        <v>103</v>
      </c>
      <c r="H39" s="26" t="s">
        <v>103</v>
      </c>
      <c r="I39" s="26" t="s">
        <v>39</v>
      </c>
      <c r="J39" s="26" t="str">
        <f t="array" ref="J39">_xlfn.XLOOKUP(I39,Lookup!$D$2:$D$11,Lookup!$E$2:$E$11,I39)</f>
        <v>Bucuresti</v>
      </c>
      <c r="K39" s="26" t="s">
        <v>34</v>
      </c>
      <c r="L39" s="26" t="s">
        <v>33</v>
      </c>
      <c r="M39" s="26" t="str">
        <f>VLOOKUP(L39,Lookup!G:H,2,FALSE)</f>
        <v>Electronics</v>
      </c>
      <c r="N39" s="26">
        <v>3.0</v>
      </c>
      <c r="O39" s="26" t="str">
        <f t="shared" si="3"/>
        <v>OK</v>
      </c>
      <c r="P39" s="26">
        <v>120.0</v>
      </c>
      <c r="Q39" s="26">
        <f t="shared" si="4"/>
        <v>120</v>
      </c>
      <c r="R39" s="26" t="str">
        <f t="shared" si="5"/>
        <v>OK</v>
      </c>
      <c r="S39" s="26">
        <v>10.0</v>
      </c>
      <c r="T39" s="26">
        <f t="shared" si="6"/>
        <v>10</v>
      </c>
      <c r="U39" s="26" t="s">
        <v>37</v>
      </c>
      <c r="V39" s="26" t="str">
        <f>IF(U39="","Unknown",IFERROR(VLOOKUP(U39,Lookup!$A$2:$B$6,2,FALSE),U39))</f>
        <v>Bank Transfer</v>
      </c>
      <c r="W39" s="26" t="s">
        <v>79</v>
      </c>
      <c r="X39" s="26" t="str">
        <f t="shared" si="7"/>
        <v>George</v>
      </c>
      <c r="Y39" s="52">
        <f t="shared" si="8"/>
        <v>350</v>
      </c>
      <c r="Z39" s="52" t="str">
        <f t="shared" si="9"/>
        <v>Sale</v>
      </c>
      <c r="AA39" s="52">
        <f t="shared" si="10"/>
        <v>252</v>
      </c>
      <c r="AB39" s="52">
        <f t="array" ref="AB39">_xlfn.XLOOKUP(K39,Products!$B$2:$B$5,Products!$E$2:$E$5)</f>
        <v>84</v>
      </c>
      <c r="AC39" s="52">
        <f t="shared" si="11"/>
        <v>98</v>
      </c>
      <c r="AD39" s="52">
        <f t="shared" si="12"/>
        <v>98</v>
      </c>
      <c r="AE39" s="53">
        <f t="shared" si="13"/>
        <v>0.28</v>
      </c>
      <c r="AF39" s="54"/>
      <c r="AG39" s="54"/>
    </row>
    <row r="40" ht="14.25" customHeight="1">
      <c r="A40" s="26">
        <v>1038.0</v>
      </c>
      <c r="B40" s="26" t="str">
        <f t="shared" si="15"/>
        <v>Ok</v>
      </c>
      <c r="C40" s="26" t="s">
        <v>153</v>
      </c>
      <c r="D40" s="31">
        <v>45662.0</v>
      </c>
      <c r="E40" s="26" t="s">
        <v>154</v>
      </c>
      <c r="F40" s="26" t="str">
        <f t="shared" si="2"/>
        <v>C001</v>
      </c>
      <c r="G40" s="26" t="s">
        <v>141</v>
      </c>
      <c r="H40" s="26" t="s">
        <v>100</v>
      </c>
      <c r="I40" s="26" t="s">
        <v>39</v>
      </c>
      <c r="J40" s="26" t="str">
        <f t="array" ref="J40">_xlfn.XLOOKUP(I40,Lookup!$D$2:$D$11,Lookup!$E$2:$E$11,I40)</f>
        <v>Bucuresti</v>
      </c>
      <c r="K40" s="26" t="s">
        <v>44</v>
      </c>
      <c r="L40" s="26" t="s">
        <v>42</v>
      </c>
      <c r="M40" s="26" t="str">
        <f>VLOOKUP(L40,Lookup!G:H,2,FALSE)</f>
        <v>Electronics</v>
      </c>
      <c r="N40" s="26">
        <v>5.0</v>
      </c>
      <c r="O40" s="26" t="str">
        <f t="shared" si="3"/>
        <v>OK</v>
      </c>
      <c r="P40" s="26">
        <v>950.0</v>
      </c>
      <c r="Q40" s="26">
        <f t="shared" si="4"/>
        <v>950</v>
      </c>
      <c r="R40" s="26" t="str">
        <f t="shared" si="5"/>
        <v>OK</v>
      </c>
      <c r="S40" s="26">
        <v>15.0</v>
      </c>
      <c r="T40" s="26">
        <f t="shared" si="6"/>
        <v>15</v>
      </c>
      <c r="U40" s="26" t="s">
        <v>16</v>
      </c>
      <c r="V40" s="26" t="str">
        <f>IF(U40="","Unknown",IFERROR(VLOOKUP(U40,Lookup!$A$2:$B$6,2,FALSE),U40))</f>
        <v>Card</v>
      </c>
      <c r="W40" s="26" t="s">
        <v>78</v>
      </c>
      <c r="X40" s="26" t="str">
        <f t="shared" si="7"/>
        <v>Andrei</v>
      </c>
      <c r="Y40" s="52">
        <f t="shared" si="8"/>
        <v>4735</v>
      </c>
      <c r="Z40" s="52" t="str">
        <f t="shared" si="9"/>
        <v>Sale</v>
      </c>
      <c r="AA40" s="52">
        <f t="shared" si="10"/>
        <v>3325</v>
      </c>
      <c r="AB40" s="52">
        <f t="array" ref="AB40">_xlfn.XLOOKUP(K40,Products!$B$2:$B$5,Products!$E$2:$E$5)</f>
        <v>665</v>
      </c>
      <c r="AC40" s="52">
        <f t="shared" si="11"/>
        <v>1410</v>
      </c>
      <c r="AD40" s="52">
        <f t="shared" si="12"/>
        <v>1410</v>
      </c>
      <c r="AE40" s="53">
        <f t="shared" si="13"/>
        <v>0.297782471</v>
      </c>
      <c r="AF40" s="54"/>
      <c r="AG40" s="54"/>
    </row>
    <row r="41" ht="14.25" customHeight="1">
      <c r="A41" s="26">
        <v>1039.0</v>
      </c>
      <c r="B41" s="26" t="str">
        <f t="shared" si="15"/>
        <v>Ok</v>
      </c>
      <c r="C41" s="26" t="s">
        <v>155</v>
      </c>
      <c r="D41" s="31">
        <v>45717.0</v>
      </c>
      <c r="E41" s="26" t="s">
        <v>114</v>
      </c>
      <c r="F41" s="26" t="str">
        <f t="shared" si="2"/>
        <v>C009</v>
      </c>
      <c r="G41" s="26" t="s">
        <v>86</v>
      </c>
      <c r="H41" s="26" t="s">
        <v>97</v>
      </c>
      <c r="I41" s="26" t="s">
        <v>58</v>
      </c>
      <c r="J41" s="26" t="str">
        <f t="array" ref="J41">_xlfn.XLOOKUP(I41,Lookup!$D$2:$D$11,Lookup!$E$2:$E$11,I41)</f>
        <v>Bucuresti</v>
      </c>
      <c r="K41" s="26" t="s">
        <v>44</v>
      </c>
      <c r="L41" s="26" t="s">
        <v>42</v>
      </c>
      <c r="M41" s="26" t="str">
        <f>VLOOKUP(L41,Lookup!G:H,2,FALSE)</f>
        <v>Electronics</v>
      </c>
      <c r="N41" s="26">
        <v>1.0</v>
      </c>
      <c r="O41" s="26" t="str">
        <f t="shared" si="3"/>
        <v>OK</v>
      </c>
      <c r="P41" s="26">
        <v>950.0</v>
      </c>
      <c r="Q41" s="26">
        <f t="shared" si="4"/>
        <v>950</v>
      </c>
      <c r="R41" s="26" t="str">
        <f t="shared" si="5"/>
        <v>OK</v>
      </c>
      <c r="S41" s="26"/>
      <c r="T41" s="26" t="str">
        <f t="shared" si="6"/>
        <v>0</v>
      </c>
      <c r="U41" s="26"/>
      <c r="V41" s="26" t="str">
        <f>IF(U41="","Unknown",IFERROR(VLOOKUP(U41,Lookup!$A$2:$B$6,2,FALSE),U41))</f>
        <v>Unknown</v>
      </c>
      <c r="W41" s="26"/>
      <c r="X41" s="26" t="str">
        <f t="shared" si="7"/>
        <v>Unknown</v>
      </c>
      <c r="Y41" s="52">
        <f t="shared" si="8"/>
        <v>950</v>
      </c>
      <c r="Z41" s="52" t="str">
        <f t="shared" si="9"/>
        <v>Sale</v>
      </c>
      <c r="AA41" s="52">
        <f t="shared" si="10"/>
        <v>665</v>
      </c>
      <c r="AB41" s="52">
        <f t="array" ref="AB41">_xlfn.XLOOKUP(K41,Products!$B$2:$B$5,Products!$E$2:$E$5)</f>
        <v>665</v>
      </c>
      <c r="AC41" s="52">
        <f t="shared" si="11"/>
        <v>285</v>
      </c>
      <c r="AD41" s="52">
        <f t="shared" si="12"/>
        <v>285</v>
      </c>
      <c r="AE41" s="53">
        <f t="shared" si="13"/>
        <v>0.3</v>
      </c>
      <c r="AF41" s="54"/>
      <c r="AG41" s="54"/>
    </row>
    <row r="42" ht="14.25" customHeight="1">
      <c r="A42" s="26">
        <v>1040.0</v>
      </c>
      <c r="B42" s="26" t="str">
        <f t="shared" si="15"/>
        <v>Ok</v>
      </c>
      <c r="C42" s="26" t="s">
        <v>156</v>
      </c>
      <c r="D42" s="31">
        <v>45681.0</v>
      </c>
      <c r="E42" s="26" t="s">
        <v>121</v>
      </c>
      <c r="F42" s="26" t="str">
        <f t="shared" si="2"/>
        <v>C024</v>
      </c>
      <c r="G42" s="26" t="s">
        <v>93</v>
      </c>
      <c r="H42" s="26" t="s">
        <v>94</v>
      </c>
      <c r="I42" s="26" t="s">
        <v>60</v>
      </c>
      <c r="J42" s="26" t="str">
        <f t="array" ref="J42">_xlfn.XLOOKUP(I42,Lookup!$D$2:$D$11,Lookup!$E$2:$E$11,I42)</f>
        <v>Iasi</v>
      </c>
      <c r="K42" s="26" t="s">
        <v>51</v>
      </c>
      <c r="L42" s="26" t="s">
        <v>49</v>
      </c>
      <c r="M42" s="26" t="str">
        <f>VLOOKUP(L42,Lookup!G:H,2,FALSE)</f>
        <v>Furniture</v>
      </c>
      <c r="N42" s="26">
        <v>25.0</v>
      </c>
      <c r="O42" s="26" t="str">
        <f t="shared" si="3"/>
        <v>OK</v>
      </c>
      <c r="P42" s="26">
        <v>-800.0</v>
      </c>
      <c r="Q42" s="26">
        <f t="shared" si="4"/>
        <v>800</v>
      </c>
      <c r="R42" s="26" t="str">
        <f t="shared" si="5"/>
        <v>Negative Quantity</v>
      </c>
      <c r="S42" s="26">
        <v>120.0</v>
      </c>
      <c r="T42" s="26">
        <f t="shared" si="6"/>
        <v>120</v>
      </c>
      <c r="U42" s="26"/>
      <c r="V42" s="26" t="str">
        <f>IF(U42="","Unknown",IFERROR(VLOOKUP(U42,Lookup!$A$2:$B$6,2,FALSE),U42))</f>
        <v>Unknown</v>
      </c>
      <c r="W42" s="26" t="s">
        <v>79</v>
      </c>
      <c r="X42" s="26" t="str">
        <f t="shared" si="7"/>
        <v>George</v>
      </c>
      <c r="Y42" s="52">
        <f t="shared" si="8"/>
        <v>19880</v>
      </c>
      <c r="Z42" s="52" t="str">
        <f t="shared" si="9"/>
        <v>Sale</v>
      </c>
      <c r="AA42" s="52">
        <f t="shared" si="10"/>
        <v>14000</v>
      </c>
      <c r="AB42" s="52">
        <f t="array" ref="AB42">_xlfn.XLOOKUP(K42,Products!$B$2:$B$5,Products!$E$2:$E$5)</f>
        <v>560</v>
      </c>
      <c r="AC42" s="52">
        <f t="shared" si="11"/>
        <v>5880</v>
      </c>
      <c r="AD42" s="52">
        <f t="shared" si="12"/>
        <v>5880</v>
      </c>
      <c r="AE42" s="53">
        <f t="shared" si="13"/>
        <v>0.2957746479</v>
      </c>
      <c r="AF42" s="54"/>
      <c r="AG42" s="54"/>
    </row>
    <row r="43" ht="14.25" customHeight="1">
      <c r="A43" s="26">
        <v>1041.0</v>
      </c>
      <c r="B43" s="26" t="str">
        <f t="shared" si="15"/>
        <v>Ok</v>
      </c>
      <c r="C43" s="26" t="s">
        <v>157</v>
      </c>
      <c r="D43" s="31">
        <v>45693.0</v>
      </c>
      <c r="E43" s="26" t="s">
        <v>92</v>
      </c>
      <c r="F43" s="26" t="str">
        <f t="shared" si="2"/>
        <v>C002</v>
      </c>
      <c r="G43" s="26" t="s">
        <v>68</v>
      </c>
      <c r="H43" s="26" t="s">
        <v>68</v>
      </c>
      <c r="I43" s="26" t="s">
        <v>39</v>
      </c>
      <c r="J43" s="26" t="str">
        <f t="array" ref="J43">_xlfn.XLOOKUP(I43,Lookup!$D$2:$D$11,Lookup!$E$2:$E$11,I43)</f>
        <v>Bucuresti</v>
      </c>
      <c r="K43" s="26" t="s">
        <v>44</v>
      </c>
      <c r="L43" s="26" t="s">
        <v>42</v>
      </c>
      <c r="M43" s="26" t="str">
        <f>VLOOKUP(L43,Lookup!G:H,2,FALSE)</f>
        <v>Electronics</v>
      </c>
      <c r="N43" s="26">
        <v>25.0</v>
      </c>
      <c r="O43" s="26" t="str">
        <f t="shared" si="3"/>
        <v>OK</v>
      </c>
      <c r="P43" s="26">
        <v>-950.0</v>
      </c>
      <c r="Q43" s="26">
        <f t="shared" si="4"/>
        <v>950</v>
      </c>
      <c r="R43" s="26" t="str">
        <f t="shared" si="5"/>
        <v>Negative Quantity</v>
      </c>
      <c r="S43" s="26">
        <v>5.0</v>
      </c>
      <c r="T43" s="26">
        <f t="shared" si="6"/>
        <v>5</v>
      </c>
      <c r="U43" s="26" t="s">
        <v>38</v>
      </c>
      <c r="V43" s="26" t="str">
        <f>IF(U43="","Unknown",IFERROR(VLOOKUP(U43,Lookup!$A$2:$B$6,2,FALSE),U43))</f>
        <v>Bank Transfer</v>
      </c>
      <c r="W43" s="26" t="s">
        <v>80</v>
      </c>
      <c r="X43" s="26" t="str">
        <f t="shared" si="7"/>
        <v>Maria</v>
      </c>
      <c r="Y43" s="52">
        <f t="shared" si="8"/>
        <v>23745</v>
      </c>
      <c r="Z43" s="52" t="str">
        <f t="shared" si="9"/>
        <v>Sale</v>
      </c>
      <c r="AA43" s="52">
        <f t="shared" si="10"/>
        <v>16625</v>
      </c>
      <c r="AB43" s="52">
        <f t="array" ref="AB43">_xlfn.XLOOKUP(K43,Products!$B$2:$B$5,Products!$E$2:$E$5)</f>
        <v>665</v>
      </c>
      <c r="AC43" s="52">
        <f t="shared" si="11"/>
        <v>7120</v>
      </c>
      <c r="AD43" s="52">
        <f t="shared" si="12"/>
        <v>7120</v>
      </c>
      <c r="AE43" s="53">
        <f t="shared" si="13"/>
        <v>0.2998526005</v>
      </c>
      <c r="AF43" s="54"/>
      <c r="AG43" s="54"/>
    </row>
    <row r="44" ht="14.25" customHeight="1">
      <c r="A44" s="26">
        <v>1042.0</v>
      </c>
      <c r="B44" s="26" t="str">
        <f t="shared" si="15"/>
        <v>Ok</v>
      </c>
      <c r="C44" s="26" t="s">
        <v>158</v>
      </c>
      <c r="D44" s="31">
        <v>45666.0</v>
      </c>
      <c r="E44" s="26" t="s">
        <v>107</v>
      </c>
      <c r="F44" s="26" t="str">
        <f t="shared" si="2"/>
        <v>C014</v>
      </c>
      <c r="G44" s="26" t="s">
        <v>123</v>
      </c>
      <c r="H44" s="26" t="s">
        <v>68</v>
      </c>
      <c r="I44" s="26" t="s">
        <v>41</v>
      </c>
      <c r="J44" s="26" t="str">
        <f t="array" ref="J44">_xlfn.XLOOKUP(I44,Lookup!$D$2:$D$11,Lookup!$E$2:$E$11,I44)</f>
        <v>Bucuresti</v>
      </c>
      <c r="K44" s="26" t="s">
        <v>51</v>
      </c>
      <c r="L44" s="26" t="s">
        <v>49</v>
      </c>
      <c r="M44" s="26" t="str">
        <f>VLOOKUP(L44,Lookup!G:H,2,FALSE)</f>
        <v>Furniture</v>
      </c>
      <c r="N44" s="26">
        <v>25.0</v>
      </c>
      <c r="O44" s="26" t="str">
        <f t="shared" si="3"/>
        <v>OK</v>
      </c>
      <c r="P44" s="26">
        <v>800.0</v>
      </c>
      <c r="Q44" s="26">
        <f t="shared" si="4"/>
        <v>800</v>
      </c>
      <c r="R44" s="26" t="str">
        <f t="shared" si="5"/>
        <v>OK</v>
      </c>
      <c r="S44" s="26">
        <v>120.0</v>
      </c>
      <c r="T44" s="26">
        <f t="shared" si="6"/>
        <v>120</v>
      </c>
      <c r="U44" s="26" t="s">
        <v>37</v>
      </c>
      <c r="V44" s="26" t="str">
        <f>IF(U44="","Unknown",IFERROR(VLOOKUP(U44,Lookup!$A$2:$B$6,2,FALSE),U44))</f>
        <v>Bank Transfer</v>
      </c>
      <c r="W44" s="26"/>
      <c r="X44" s="26" t="str">
        <f t="shared" si="7"/>
        <v>Unknown</v>
      </c>
      <c r="Y44" s="52">
        <f t="shared" si="8"/>
        <v>19880</v>
      </c>
      <c r="Z44" s="52" t="str">
        <f t="shared" si="9"/>
        <v>Sale</v>
      </c>
      <c r="AA44" s="52">
        <f t="shared" si="10"/>
        <v>14000</v>
      </c>
      <c r="AB44" s="52">
        <f t="array" ref="AB44">_xlfn.XLOOKUP(K44,Products!$B$2:$B$5,Products!$E$2:$E$5)</f>
        <v>560</v>
      </c>
      <c r="AC44" s="52">
        <f t="shared" si="11"/>
        <v>5880</v>
      </c>
      <c r="AD44" s="52">
        <f t="shared" si="12"/>
        <v>5880</v>
      </c>
      <c r="AE44" s="53">
        <f t="shared" si="13"/>
        <v>0.2957746479</v>
      </c>
      <c r="AF44" s="54"/>
      <c r="AG44" s="54"/>
    </row>
    <row r="45" ht="14.25" customHeight="1">
      <c r="A45" s="26">
        <v>1043.0</v>
      </c>
      <c r="B45" s="26" t="str">
        <f t="shared" si="15"/>
        <v>Ok</v>
      </c>
      <c r="C45" s="26" t="s">
        <v>159</v>
      </c>
      <c r="D45" s="31">
        <v>45684.0</v>
      </c>
      <c r="E45" s="26" t="s">
        <v>88</v>
      </c>
      <c r="F45" s="26" t="str">
        <f t="shared" si="2"/>
        <v>C012</v>
      </c>
      <c r="G45" s="26" t="s">
        <v>160</v>
      </c>
      <c r="H45" s="26" t="s">
        <v>103</v>
      </c>
      <c r="I45" s="26" t="s">
        <v>19</v>
      </c>
      <c r="J45" s="26" t="str">
        <f t="array" ref="J45">_xlfn.XLOOKUP(I45,Lookup!$D$2:$D$11,Lookup!$E$2:$E$11,I45)</f>
        <v>Cluj-Napoca</v>
      </c>
      <c r="K45" s="26" t="s">
        <v>34</v>
      </c>
      <c r="L45" s="26" t="s">
        <v>33</v>
      </c>
      <c r="M45" s="26" t="str">
        <f>VLOOKUP(L45,Lookup!G:H,2,FALSE)</f>
        <v>Electronics</v>
      </c>
      <c r="N45" s="26">
        <v>-1.0</v>
      </c>
      <c r="O45" s="26" t="str">
        <f t="shared" si="3"/>
        <v>Negative Quantity</v>
      </c>
      <c r="P45" s="26">
        <v>-120.0</v>
      </c>
      <c r="Q45" s="26">
        <f t="shared" si="4"/>
        <v>120</v>
      </c>
      <c r="R45" s="26" t="str">
        <f t="shared" si="5"/>
        <v>Negative Quantity</v>
      </c>
      <c r="S45" s="26">
        <v>120.0</v>
      </c>
      <c r="T45" s="26">
        <f t="shared" si="6"/>
        <v>120</v>
      </c>
      <c r="U45" s="26"/>
      <c r="V45" s="26" t="str">
        <f>IF(U45="","Unknown",IFERROR(VLOOKUP(U45,Lookup!$A$2:$B$6,2,FALSE),U45))</f>
        <v>Unknown</v>
      </c>
      <c r="W45" s="26"/>
      <c r="X45" s="26" t="str">
        <f t="shared" si="7"/>
        <v>Unknown</v>
      </c>
      <c r="Y45" s="52">
        <f t="shared" si="8"/>
        <v>-240</v>
      </c>
      <c r="Z45" s="52" t="str">
        <f t="shared" si="9"/>
        <v>Possible Return</v>
      </c>
      <c r="AA45" s="52">
        <f t="shared" si="10"/>
        <v>-84</v>
      </c>
      <c r="AB45" s="52">
        <f t="array" ref="AB45">_xlfn.XLOOKUP(K45,Products!$B$2:$B$5,Products!$E$2:$E$5)</f>
        <v>84</v>
      </c>
      <c r="AC45" s="52">
        <f t="shared" si="11"/>
        <v>-156</v>
      </c>
      <c r="AD45" s="52" t="str">
        <f t="shared" si="12"/>
        <v/>
      </c>
      <c r="AE45" s="53" t="str">
        <f t="shared" si="13"/>
        <v/>
      </c>
      <c r="AF45" s="54"/>
      <c r="AG45" s="54"/>
    </row>
    <row r="46" ht="14.25" customHeight="1">
      <c r="A46" s="26">
        <v>1044.0</v>
      </c>
      <c r="B46" s="26" t="str">
        <f t="shared" si="15"/>
        <v>Ok</v>
      </c>
      <c r="C46" s="26" t="s">
        <v>161</v>
      </c>
      <c r="D46" s="31">
        <v>45668.0</v>
      </c>
      <c r="E46" s="26" t="s">
        <v>105</v>
      </c>
      <c r="F46" s="26" t="str">
        <f t="shared" si="2"/>
        <v>C025</v>
      </c>
      <c r="G46" s="26" t="s">
        <v>112</v>
      </c>
      <c r="H46" s="26" t="s">
        <v>94</v>
      </c>
      <c r="I46" s="26" t="s">
        <v>58</v>
      </c>
      <c r="J46" s="26" t="str">
        <f t="array" ref="J46">_xlfn.XLOOKUP(I46,Lookup!$D$2:$D$11,Lookup!$E$2:$E$11,I46)</f>
        <v>Bucuresti</v>
      </c>
      <c r="K46" s="26" t="s">
        <v>44</v>
      </c>
      <c r="L46" s="26" t="s">
        <v>42</v>
      </c>
      <c r="M46" s="26" t="str">
        <f>VLOOKUP(L46,Lookup!G:H,2,FALSE)</f>
        <v>Electronics</v>
      </c>
      <c r="N46" s="26">
        <v>1.0</v>
      </c>
      <c r="O46" s="26" t="str">
        <f t="shared" si="3"/>
        <v>OK</v>
      </c>
      <c r="P46" s="26">
        <v>950.0</v>
      </c>
      <c r="Q46" s="26">
        <f t="shared" si="4"/>
        <v>950</v>
      </c>
      <c r="R46" s="26" t="str">
        <f t="shared" si="5"/>
        <v>OK</v>
      </c>
      <c r="S46" s="26">
        <v>5.0</v>
      </c>
      <c r="T46" s="26">
        <f t="shared" si="6"/>
        <v>5</v>
      </c>
      <c r="U46" s="26" t="s">
        <v>53</v>
      </c>
      <c r="V46" s="26" t="str">
        <f>IF(U46="","Unknown",IFERROR(VLOOKUP(U46,Lookup!$A$2:$B$6,2,FALSE),U46))</f>
        <v>Cash</v>
      </c>
      <c r="W46" s="26" t="s">
        <v>80</v>
      </c>
      <c r="X46" s="26" t="str">
        <f t="shared" si="7"/>
        <v>Maria</v>
      </c>
      <c r="Y46" s="52">
        <f t="shared" si="8"/>
        <v>945</v>
      </c>
      <c r="Z46" s="52" t="str">
        <f t="shared" si="9"/>
        <v>Sale</v>
      </c>
      <c r="AA46" s="52">
        <f t="shared" si="10"/>
        <v>665</v>
      </c>
      <c r="AB46" s="52">
        <f t="array" ref="AB46">_xlfn.XLOOKUP(K46,Products!$B$2:$B$5,Products!$E$2:$E$5)</f>
        <v>665</v>
      </c>
      <c r="AC46" s="52">
        <f t="shared" si="11"/>
        <v>280</v>
      </c>
      <c r="AD46" s="52">
        <f t="shared" si="12"/>
        <v>280</v>
      </c>
      <c r="AE46" s="53">
        <f t="shared" si="13"/>
        <v>0.2962962963</v>
      </c>
      <c r="AF46" s="54"/>
      <c r="AG46" s="54"/>
    </row>
    <row r="47" ht="14.25" customHeight="1">
      <c r="A47" s="26">
        <v>1045.0</v>
      </c>
      <c r="B47" s="26" t="str">
        <f t="shared" si="15"/>
        <v>Ok</v>
      </c>
      <c r="C47" s="26" t="s">
        <v>65</v>
      </c>
      <c r="D47" s="31">
        <v>45698.0</v>
      </c>
      <c r="E47" s="26" t="s">
        <v>105</v>
      </c>
      <c r="F47" s="26" t="str">
        <f t="shared" si="2"/>
        <v>C025</v>
      </c>
      <c r="G47" s="26" t="s">
        <v>141</v>
      </c>
      <c r="H47" s="26" t="s">
        <v>100</v>
      </c>
      <c r="I47" s="26" t="s">
        <v>58</v>
      </c>
      <c r="J47" s="26" t="str">
        <f t="array" ref="J47">_xlfn.XLOOKUP(I47,Lookup!$D$2:$D$11,Lookup!$E$2:$E$11,I47)</f>
        <v>Bucuresti</v>
      </c>
      <c r="K47" s="26" t="s">
        <v>44</v>
      </c>
      <c r="L47" s="26" t="s">
        <v>42</v>
      </c>
      <c r="M47" s="26" t="str">
        <f>VLOOKUP(L47,Lookup!G:H,2,FALSE)</f>
        <v>Electronics</v>
      </c>
      <c r="N47" s="26">
        <v>25.0</v>
      </c>
      <c r="O47" s="26" t="str">
        <f t="shared" si="3"/>
        <v>OK</v>
      </c>
      <c r="P47" s="26">
        <v>950.0</v>
      </c>
      <c r="Q47" s="26">
        <f t="shared" si="4"/>
        <v>950</v>
      </c>
      <c r="R47" s="26" t="str">
        <f t="shared" si="5"/>
        <v>OK</v>
      </c>
      <c r="S47" s="26">
        <v>15.0</v>
      </c>
      <c r="T47" s="26">
        <f t="shared" si="6"/>
        <v>15</v>
      </c>
      <c r="U47" s="26" t="s">
        <v>53</v>
      </c>
      <c r="V47" s="26" t="str">
        <f>IF(U47="","Unknown",IFERROR(VLOOKUP(U47,Lookup!$A$2:$B$6,2,FALSE),U47))</f>
        <v>Cash</v>
      </c>
      <c r="W47" s="26"/>
      <c r="X47" s="26" t="str">
        <f t="shared" si="7"/>
        <v>Unknown</v>
      </c>
      <c r="Y47" s="52">
        <f t="shared" si="8"/>
        <v>23735</v>
      </c>
      <c r="Z47" s="52" t="str">
        <f t="shared" si="9"/>
        <v>Sale</v>
      </c>
      <c r="AA47" s="52">
        <f t="shared" si="10"/>
        <v>16625</v>
      </c>
      <c r="AB47" s="52">
        <f t="array" ref="AB47">_xlfn.XLOOKUP(K47,Products!$B$2:$B$5,Products!$E$2:$E$5)</f>
        <v>665</v>
      </c>
      <c r="AC47" s="52">
        <f t="shared" si="11"/>
        <v>7110</v>
      </c>
      <c r="AD47" s="52">
        <f t="shared" si="12"/>
        <v>7110</v>
      </c>
      <c r="AE47" s="53">
        <f t="shared" si="13"/>
        <v>0.2995576153</v>
      </c>
      <c r="AF47" s="54"/>
      <c r="AG47" s="54"/>
    </row>
    <row r="48" ht="14.25" customHeight="1">
      <c r="A48" s="26">
        <v>1046.0</v>
      </c>
      <c r="B48" s="26" t="str">
        <f t="shared" si="15"/>
        <v>Ok</v>
      </c>
      <c r="C48" s="26" t="s">
        <v>162</v>
      </c>
      <c r="D48" s="31">
        <v>45715.0</v>
      </c>
      <c r="E48" s="26"/>
      <c r="F48" s="26" t="str">
        <f t="shared" si="2"/>
        <v>Unknown</v>
      </c>
      <c r="G48" s="26" t="s">
        <v>93</v>
      </c>
      <c r="H48" s="26" t="s">
        <v>94</v>
      </c>
      <c r="I48" s="26" t="s">
        <v>22</v>
      </c>
      <c r="J48" s="26" t="str">
        <f t="array" ref="J48">_xlfn.XLOOKUP(I48,Lookup!$D$2:$D$11,Lookup!$E$2:$E$11,I48)</f>
        <v>Cluj-Napoca</v>
      </c>
      <c r="K48" s="26" t="s">
        <v>26</v>
      </c>
      <c r="L48" s="26" t="s">
        <v>24</v>
      </c>
      <c r="M48" s="26" t="str">
        <f>VLOOKUP(L48,Lookup!G:H,2,FALSE)</f>
        <v>Electronics</v>
      </c>
      <c r="N48" s="26">
        <v>25.0</v>
      </c>
      <c r="O48" s="26" t="str">
        <f t="shared" si="3"/>
        <v>OK</v>
      </c>
      <c r="P48" s="26">
        <v>3500.0</v>
      </c>
      <c r="Q48" s="26">
        <f t="shared" si="4"/>
        <v>3500</v>
      </c>
      <c r="R48" s="26" t="str">
        <f t="shared" si="5"/>
        <v>OK</v>
      </c>
      <c r="S48" s="26"/>
      <c r="T48" s="26" t="str">
        <f t="shared" si="6"/>
        <v>0</v>
      </c>
      <c r="U48" s="26" t="s">
        <v>13</v>
      </c>
      <c r="V48" s="26" t="str">
        <f>IF(U48="","Unknown",IFERROR(VLOOKUP(U48,Lookup!$A$2:$B$6,2,FALSE),U48))</f>
        <v>Card</v>
      </c>
      <c r="W48" s="26" t="s">
        <v>78</v>
      </c>
      <c r="X48" s="26" t="str">
        <f t="shared" si="7"/>
        <v>Andrei</v>
      </c>
      <c r="Y48" s="52">
        <f t="shared" si="8"/>
        <v>87500</v>
      </c>
      <c r="Z48" s="52" t="str">
        <f t="shared" si="9"/>
        <v>Sale</v>
      </c>
      <c r="AA48" s="52">
        <f t="shared" si="10"/>
        <v>61250</v>
      </c>
      <c r="AB48" s="52">
        <f t="array" ref="AB48">_xlfn.XLOOKUP(K48,Products!$B$2:$B$5,Products!$E$2:$E$5)</f>
        <v>2450</v>
      </c>
      <c r="AC48" s="52">
        <f t="shared" si="11"/>
        <v>26250</v>
      </c>
      <c r="AD48" s="52">
        <f t="shared" si="12"/>
        <v>26250</v>
      </c>
      <c r="AE48" s="53">
        <f t="shared" si="13"/>
        <v>0.3</v>
      </c>
      <c r="AF48" s="54"/>
      <c r="AG48" s="54"/>
    </row>
    <row r="49" ht="14.25" customHeight="1">
      <c r="A49" s="26">
        <v>1047.0</v>
      </c>
      <c r="B49" s="26" t="str">
        <f t="shared" si="15"/>
        <v>Ok</v>
      </c>
      <c r="C49" s="26" t="s">
        <v>163</v>
      </c>
      <c r="D49" s="31">
        <v>45664.0</v>
      </c>
      <c r="E49" s="26" t="s">
        <v>111</v>
      </c>
      <c r="F49" s="26" t="str">
        <f t="shared" si="2"/>
        <v>C005</v>
      </c>
      <c r="G49" s="26" t="s">
        <v>89</v>
      </c>
      <c r="H49" s="26" t="s">
        <v>97</v>
      </c>
      <c r="I49" s="26" t="s">
        <v>19</v>
      </c>
      <c r="J49" s="26" t="str">
        <f t="array" ref="J49">_xlfn.XLOOKUP(I49,Lookup!$D$2:$D$11,Lookup!$E$2:$E$11,I49)</f>
        <v>Cluj-Napoca</v>
      </c>
      <c r="K49" s="26" t="s">
        <v>51</v>
      </c>
      <c r="L49" s="26" t="s">
        <v>49</v>
      </c>
      <c r="M49" s="26" t="str">
        <f>VLOOKUP(L49,Lookup!G:H,2,FALSE)</f>
        <v>Furniture</v>
      </c>
      <c r="N49" s="26">
        <v>2.0</v>
      </c>
      <c r="O49" s="26" t="str">
        <f t="shared" si="3"/>
        <v>OK</v>
      </c>
      <c r="P49" s="26">
        <v>800.0</v>
      </c>
      <c r="Q49" s="26">
        <f t="shared" si="4"/>
        <v>800</v>
      </c>
      <c r="R49" s="26" t="str">
        <f t="shared" si="5"/>
        <v>OK</v>
      </c>
      <c r="S49" s="26">
        <v>120.0</v>
      </c>
      <c r="T49" s="26">
        <f t="shared" si="6"/>
        <v>120</v>
      </c>
      <c r="U49" s="26" t="s">
        <v>37</v>
      </c>
      <c r="V49" s="26" t="str">
        <f>IF(U49="","Unknown",IFERROR(VLOOKUP(U49,Lookup!$A$2:$B$6,2,FALSE),U49))</f>
        <v>Bank Transfer</v>
      </c>
      <c r="W49" s="26"/>
      <c r="X49" s="26" t="str">
        <f t="shared" si="7"/>
        <v>Unknown</v>
      </c>
      <c r="Y49" s="52">
        <f t="shared" si="8"/>
        <v>1480</v>
      </c>
      <c r="Z49" s="52" t="str">
        <f t="shared" si="9"/>
        <v>Sale</v>
      </c>
      <c r="AA49" s="52">
        <f t="shared" si="10"/>
        <v>1120</v>
      </c>
      <c r="AB49" s="52">
        <f t="array" ref="AB49">_xlfn.XLOOKUP(K49,Products!$B$2:$B$5,Products!$E$2:$E$5)</f>
        <v>560</v>
      </c>
      <c r="AC49" s="52">
        <f t="shared" si="11"/>
        <v>360</v>
      </c>
      <c r="AD49" s="52">
        <f t="shared" si="12"/>
        <v>360</v>
      </c>
      <c r="AE49" s="53">
        <f t="shared" si="13"/>
        <v>0.2432432432</v>
      </c>
      <c r="AF49" s="54"/>
      <c r="AG49" s="54"/>
    </row>
    <row r="50" ht="14.25" customHeight="1">
      <c r="A50" s="26">
        <v>1048.0</v>
      </c>
      <c r="B50" s="26" t="str">
        <f t="shared" si="15"/>
        <v>Ok</v>
      </c>
      <c r="C50" s="26" t="s">
        <v>164</v>
      </c>
      <c r="D50" s="31">
        <v>45658.0</v>
      </c>
      <c r="E50" s="26" t="s">
        <v>126</v>
      </c>
      <c r="F50" s="26" t="str">
        <f t="shared" si="2"/>
        <v>C015</v>
      </c>
      <c r="G50" s="26" t="s">
        <v>149</v>
      </c>
      <c r="H50" s="26" t="s">
        <v>100</v>
      </c>
      <c r="I50" s="26" t="s">
        <v>22</v>
      </c>
      <c r="J50" s="26" t="str">
        <f t="array" ref="J50">_xlfn.XLOOKUP(I50,Lookup!$D$2:$D$11,Lookup!$E$2:$E$11,I50)</f>
        <v>Cluj-Napoca</v>
      </c>
      <c r="K50" s="26" t="s">
        <v>26</v>
      </c>
      <c r="L50" s="26" t="s">
        <v>24</v>
      </c>
      <c r="M50" s="26" t="str">
        <f>VLOOKUP(L50,Lookup!G:H,2,FALSE)</f>
        <v>Electronics</v>
      </c>
      <c r="N50" s="26">
        <v>-1.0</v>
      </c>
      <c r="O50" s="26" t="str">
        <f t="shared" si="3"/>
        <v>Negative Quantity</v>
      </c>
      <c r="P50" s="26">
        <v>3500.0</v>
      </c>
      <c r="Q50" s="26">
        <f t="shared" si="4"/>
        <v>3500</v>
      </c>
      <c r="R50" s="26" t="str">
        <f t="shared" si="5"/>
        <v>OK</v>
      </c>
      <c r="S50" s="26"/>
      <c r="T50" s="26" t="str">
        <f t="shared" si="6"/>
        <v>0</v>
      </c>
      <c r="U50" s="26" t="s">
        <v>37</v>
      </c>
      <c r="V50" s="26" t="str">
        <f>IF(U50="","Unknown",IFERROR(VLOOKUP(U50,Lookup!$A$2:$B$6,2,FALSE),U50))</f>
        <v>Bank Transfer</v>
      </c>
      <c r="W50" s="26" t="s">
        <v>78</v>
      </c>
      <c r="X50" s="26" t="str">
        <f t="shared" si="7"/>
        <v>Andrei</v>
      </c>
      <c r="Y50" s="52">
        <f t="shared" si="8"/>
        <v>-3500</v>
      </c>
      <c r="Z50" s="52" t="str">
        <f t="shared" si="9"/>
        <v>Possible Return</v>
      </c>
      <c r="AA50" s="52">
        <f t="shared" si="10"/>
        <v>-2450</v>
      </c>
      <c r="AB50" s="52">
        <f t="array" ref="AB50">_xlfn.XLOOKUP(K50,Products!$B$2:$B$5,Products!$E$2:$E$5)</f>
        <v>2450</v>
      </c>
      <c r="AC50" s="52">
        <f t="shared" si="11"/>
        <v>-1050</v>
      </c>
      <c r="AD50" s="52" t="str">
        <f t="shared" si="12"/>
        <v/>
      </c>
      <c r="AE50" s="53" t="str">
        <f t="shared" si="13"/>
        <v/>
      </c>
      <c r="AF50" s="54"/>
      <c r="AG50" s="54"/>
    </row>
    <row r="51" ht="14.25" customHeight="1">
      <c r="A51" s="26">
        <v>1049.0</v>
      </c>
      <c r="B51" s="26" t="str">
        <f t="shared" si="15"/>
        <v>Ok</v>
      </c>
      <c r="C51" s="26" t="s">
        <v>165</v>
      </c>
      <c r="D51" s="31">
        <v>45661.0</v>
      </c>
      <c r="E51" s="26" t="s">
        <v>134</v>
      </c>
      <c r="F51" s="26" t="str">
        <f t="shared" si="2"/>
        <v>C003</v>
      </c>
      <c r="G51" s="26" t="s">
        <v>68</v>
      </c>
      <c r="H51" s="26" t="s">
        <v>68</v>
      </c>
      <c r="I51" s="26" t="s">
        <v>31</v>
      </c>
      <c r="J51" s="26" t="str">
        <f t="array" ref="J51">_xlfn.XLOOKUP(I51,Lookup!$D$2:$D$11,Lookup!$E$2:$E$11,I51)</f>
        <v>Iasi</v>
      </c>
      <c r="K51" s="26" t="s">
        <v>26</v>
      </c>
      <c r="L51" s="26" t="s">
        <v>24</v>
      </c>
      <c r="M51" s="26" t="str">
        <f>VLOOKUP(L51,Lookup!G:H,2,FALSE)</f>
        <v>Electronics</v>
      </c>
      <c r="N51" s="26">
        <v>-1.0</v>
      </c>
      <c r="O51" s="26" t="str">
        <f t="shared" si="3"/>
        <v>Negative Quantity</v>
      </c>
      <c r="P51" s="26">
        <v>3500.0</v>
      </c>
      <c r="Q51" s="26">
        <f t="shared" si="4"/>
        <v>3500</v>
      </c>
      <c r="R51" s="26" t="str">
        <f t="shared" si="5"/>
        <v>OK</v>
      </c>
      <c r="S51" s="26">
        <v>15.0</v>
      </c>
      <c r="T51" s="26">
        <f t="shared" si="6"/>
        <v>15</v>
      </c>
      <c r="U51" s="26" t="s">
        <v>37</v>
      </c>
      <c r="V51" s="26" t="str">
        <f>IF(U51="","Unknown",IFERROR(VLOOKUP(U51,Lookup!$A$2:$B$6,2,FALSE),U51))</f>
        <v>Bank Transfer</v>
      </c>
      <c r="W51" s="26" t="s">
        <v>78</v>
      </c>
      <c r="X51" s="26" t="str">
        <f t="shared" si="7"/>
        <v>Andrei</v>
      </c>
      <c r="Y51" s="52">
        <f t="shared" si="8"/>
        <v>-3515</v>
      </c>
      <c r="Z51" s="52" t="str">
        <f t="shared" si="9"/>
        <v>Possible Return</v>
      </c>
      <c r="AA51" s="52">
        <f t="shared" si="10"/>
        <v>-2450</v>
      </c>
      <c r="AB51" s="52">
        <f t="array" ref="AB51">_xlfn.XLOOKUP(K51,Products!$B$2:$B$5,Products!$E$2:$E$5)</f>
        <v>2450</v>
      </c>
      <c r="AC51" s="52">
        <f t="shared" si="11"/>
        <v>-1065</v>
      </c>
      <c r="AD51" s="52" t="str">
        <f t="shared" si="12"/>
        <v/>
      </c>
      <c r="AE51" s="53" t="str">
        <f t="shared" si="13"/>
        <v/>
      </c>
      <c r="AF51" s="54"/>
      <c r="AG51" s="54"/>
    </row>
    <row r="52" ht="14.25" customHeight="1">
      <c r="A52" s="26">
        <v>1050.0</v>
      </c>
      <c r="B52" s="26" t="str">
        <f t="shared" si="15"/>
        <v>Ok</v>
      </c>
      <c r="C52" s="26" t="s">
        <v>166</v>
      </c>
      <c r="D52" s="31">
        <v>45709.0</v>
      </c>
      <c r="E52" s="26" t="s">
        <v>167</v>
      </c>
      <c r="F52" s="26" t="str">
        <f t="shared" si="2"/>
        <v>C019</v>
      </c>
      <c r="G52" s="26" t="s">
        <v>123</v>
      </c>
      <c r="H52" s="26" t="s">
        <v>68</v>
      </c>
      <c r="I52" s="26" t="s">
        <v>54</v>
      </c>
      <c r="J52" s="26" t="str">
        <f t="array" ref="J52">_xlfn.XLOOKUP(I52,Lookup!$D$2:$D$11,Lookup!$E$2:$E$11,I52)</f>
        <v>Cluj-Napoca</v>
      </c>
      <c r="K52" s="26" t="s">
        <v>26</v>
      </c>
      <c r="L52" s="26" t="s">
        <v>24</v>
      </c>
      <c r="M52" s="26" t="str">
        <f>VLOOKUP(L52,Lookup!G:H,2,FALSE)</f>
        <v>Electronics</v>
      </c>
      <c r="N52" s="26">
        <v>0.0</v>
      </c>
      <c r="O52" s="26" t="str">
        <f t="shared" si="3"/>
        <v>Zero Quantity</v>
      </c>
      <c r="P52" s="26">
        <v>3500.0</v>
      </c>
      <c r="Q52" s="26">
        <f t="shared" si="4"/>
        <v>3500</v>
      </c>
      <c r="R52" s="26" t="str">
        <f t="shared" si="5"/>
        <v>OK</v>
      </c>
      <c r="S52" s="26">
        <v>120.0</v>
      </c>
      <c r="T52" s="26">
        <f t="shared" si="6"/>
        <v>120</v>
      </c>
      <c r="U52" s="26" t="s">
        <v>16</v>
      </c>
      <c r="V52" s="26" t="str">
        <f>IF(U52="","Unknown",IFERROR(VLOOKUP(U52,Lookup!$A$2:$B$6,2,FALSE),U52))</f>
        <v>Card</v>
      </c>
      <c r="W52" s="26" t="s">
        <v>80</v>
      </c>
      <c r="X52" s="26" t="str">
        <f t="shared" si="7"/>
        <v>Maria</v>
      </c>
      <c r="Y52" s="52">
        <f t="shared" si="8"/>
        <v>-120</v>
      </c>
      <c r="Z52" s="52" t="str">
        <f t="shared" si="9"/>
        <v>Invalid - Zero Quantity</v>
      </c>
      <c r="AA52" s="52">
        <f t="shared" si="10"/>
        <v>0</v>
      </c>
      <c r="AB52" s="52">
        <f t="array" ref="AB52">_xlfn.XLOOKUP(K52,Products!$B$2:$B$5,Products!$E$2:$E$5)</f>
        <v>2450</v>
      </c>
      <c r="AC52" s="52">
        <f t="shared" si="11"/>
        <v>-120</v>
      </c>
      <c r="AD52" s="52" t="str">
        <f t="shared" si="12"/>
        <v/>
      </c>
      <c r="AE52" s="53" t="str">
        <f t="shared" si="13"/>
        <v/>
      </c>
      <c r="AF52" s="54"/>
      <c r="AG52" s="54"/>
    </row>
    <row r="53" ht="14.25" customHeight="1">
      <c r="A53" s="26">
        <v>1051.0</v>
      </c>
      <c r="B53" s="26" t="str">
        <f t="shared" si="15"/>
        <v>Ok</v>
      </c>
      <c r="C53" s="26" t="s">
        <v>168</v>
      </c>
      <c r="D53" s="31">
        <v>45673.0</v>
      </c>
      <c r="E53" s="26" t="s">
        <v>140</v>
      </c>
      <c r="F53" s="26" t="str">
        <f t="shared" si="2"/>
        <v>C020</v>
      </c>
      <c r="G53" s="26" t="s">
        <v>93</v>
      </c>
      <c r="H53" s="26" t="s">
        <v>94</v>
      </c>
      <c r="I53" s="26" t="s">
        <v>19</v>
      </c>
      <c r="J53" s="26" t="str">
        <f t="array" ref="J53">_xlfn.XLOOKUP(I53,Lookup!$D$2:$D$11,Lookup!$E$2:$E$11,I53)</f>
        <v>Cluj-Napoca</v>
      </c>
      <c r="K53" s="26" t="s">
        <v>44</v>
      </c>
      <c r="L53" s="26" t="s">
        <v>42</v>
      </c>
      <c r="M53" s="26" t="str">
        <f>VLOOKUP(L53,Lookup!G:H,2,FALSE)</f>
        <v>Electronics</v>
      </c>
      <c r="N53" s="26">
        <v>5.0</v>
      </c>
      <c r="O53" s="26" t="str">
        <f t="shared" si="3"/>
        <v>OK</v>
      </c>
      <c r="P53" s="26">
        <v>950.0</v>
      </c>
      <c r="Q53" s="26">
        <f t="shared" si="4"/>
        <v>950</v>
      </c>
      <c r="R53" s="26" t="str">
        <f t="shared" si="5"/>
        <v>OK</v>
      </c>
      <c r="S53" s="26">
        <v>5.0</v>
      </c>
      <c r="T53" s="26">
        <f t="shared" si="6"/>
        <v>5</v>
      </c>
      <c r="U53" s="26" t="s">
        <v>38</v>
      </c>
      <c r="V53" s="26" t="str">
        <f>IF(U53="","Unknown",IFERROR(VLOOKUP(U53,Lookup!$A$2:$B$6,2,FALSE),U53))</f>
        <v>Bank Transfer</v>
      </c>
      <c r="W53" s="26" t="s">
        <v>78</v>
      </c>
      <c r="X53" s="26" t="str">
        <f t="shared" si="7"/>
        <v>Andrei</v>
      </c>
      <c r="Y53" s="52">
        <f t="shared" si="8"/>
        <v>4745</v>
      </c>
      <c r="Z53" s="52" t="str">
        <f t="shared" si="9"/>
        <v>Sale</v>
      </c>
      <c r="AA53" s="52">
        <f t="shared" si="10"/>
        <v>3325</v>
      </c>
      <c r="AB53" s="52">
        <f t="array" ref="AB53">_xlfn.XLOOKUP(K53,Products!$B$2:$B$5,Products!$E$2:$E$5)</f>
        <v>665</v>
      </c>
      <c r="AC53" s="52">
        <f t="shared" si="11"/>
        <v>1420</v>
      </c>
      <c r="AD53" s="52">
        <f t="shared" si="12"/>
        <v>1420</v>
      </c>
      <c r="AE53" s="53">
        <f t="shared" si="13"/>
        <v>0.2992623815</v>
      </c>
      <c r="AF53" s="54"/>
      <c r="AG53" s="54"/>
    </row>
    <row r="54" ht="14.25" customHeight="1">
      <c r="A54" s="26">
        <v>1052.0</v>
      </c>
      <c r="B54" s="26" t="str">
        <f t="shared" si="15"/>
        <v>Ok</v>
      </c>
      <c r="C54" s="26" t="s">
        <v>169</v>
      </c>
      <c r="D54" s="31">
        <v>45717.0</v>
      </c>
      <c r="E54" s="26" t="s">
        <v>130</v>
      </c>
      <c r="F54" s="26" t="str">
        <f t="shared" si="2"/>
        <v>C008</v>
      </c>
      <c r="G54" s="26" t="s">
        <v>93</v>
      </c>
      <c r="H54" s="26" t="s">
        <v>94</v>
      </c>
      <c r="I54" s="26" t="s">
        <v>41</v>
      </c>
      <c r="J54" s="26" t="str">
        <f t="array" ref="J54">_xlfn.XLOOKUP(I54,Lookup!$D$2:$D$11,Lookup!$E$2:$E$11,I54)</f>
        <v>Bucuresti</v>
      </c>
      <c r="K54" s="26" t="s">
        <v>44</v>
      </c>
      <c r="L54" s="26" t="s">
        <v>42</v>
      </c>
      <c r="M54" s="26" t="str">
        <f>VLOOKUP(L54,Lookup!G:H,2,FALSE)</f>
        <v>Electronics</v>
      </c>
      <c r="N54" s="26">
        <v>25.0</v>
      </c>
      <c r="O54" s="26" t="str">
        <f t="shared" si="3"/>
        <v>OK</v>
      </c>
      <c r="P54" s="26">
        <v>950.0</v>
      </c>
      <c r="Q54" s="26">
        <f t="shared" si="4"/>
        <v>950</v>
      </c>
      <c r="R54" s="26" t="str">
        <f t="shared" si="5"/>
        <v>OK</v>
      </c>
      <c r="S54" s="26">
        <v>5.0</v>
      </c>
      <c r="T54" s="26">
        <f t="shared" si="6"/>
        <v>5</v>
      </c>
      <c r="U54" s="26" t="s">
        <v>53</v>
      </c>
      <c r="V54" s="26" t="str">
        <f>IF(U54="","Unknown",IFERROR(VLOOKUP(U54,Lookup!$A$2:$B$6,2,FALSE),U54))</f>
        <v>Cash</v>
      </c>
      <c r="W54" s="26"/>
      <c r="X54" s="26" t="str">
        <f t="shared" si="7"/>
        <v>Unknown</v>
      </c>
      <c r="Y54" s="52">
        <f t="shared" si="8"/>
        <v>23745</v>
      </c>
      <c r="Z54" s="52" t="str">
        <f t="shared" si="9"/>
        <v>Sale</v>
      </c>
      <c r="AA54" s="52">
        <f t="shared" si="10"/>
        <v>16625</v>
      </c>
      <c r="AB54" s="52">
        <f t="array" ref="AB54">_xlfn.XLOOKUP(K54,Products!$B$2:$B$5,Products!$E$2:$E$5)</f>
        <v>665</v>
      </c>
      <c r="AC54" s="52">
        <f t="shared" si="11"/>
        <v>7120</v>
      </c>
      <c r="AD54" s="52">
        <f t="shared" si="12"/>
        <v>7120</v>
      </c>
      <c r="AE54" s="53">
        <f t="shared" si="13"/>
        <v>0.2998526005</v>
      </c>
      <c r="AF54" s="54"/>
      <c r="AG54" s="54"/>
    </row>
    <row r="55" ht="14.25" customHeight="1">
      <c r="A55" s="26">
        <v>1053.0</v>
      </c>
      <c r="B55" s="26" t="str">
        <f t="shared" si="15"/>
        <v>Ok</v>
      </c>
      <c r="C55" s="26" t="s">
        <v>133</v>
      </c>
      <c r="D55" s="31">
        <v>45666.0</v>
      </c>
      <c r="E55" s="26" t="s">
        <v>107</v>
      </c>
      <c r="F55" s="26" t="str">
        <f t="shared" si="2"/>
        <v>C014</v>
      </c>
      <c r="G55" s="26" t="s">
        <v>102</v>
      </c>
      <c r="H55" s="26" t="s">
        <v>95</v>
      </c>
      <c r="I55" s="26" t="s">
        <v>58</v>
      </c>
      <c r="J55" s="26" t="str">
        <f t="array" ref="J55">_xlfn.XLOOKUP(I55,Lookup!$D$2:$D$11,Lookup!$E$2:$E$11,I55)</f>
        <v>Bucuresti</v>
      </c>
      <c r="K55" s="26" t="s">
        <v>44</v>
      </c>
      <c r="L55" s="26" t="s">
        <v>42</v>
      </c>
      <c r="M55" s="26" t="str">
        <f>VLOOKUP(L55,Lookup!G:H,2,FALSE)</f>
        <v>Electronics</v>
      </c>
      <c r="N55" s="26">
        <v>5.0</v>
      </c>
      <c r="O55" s="26" t="str">
        <f t="shared" si="3"/>
        <v>OK</v>
      </c>
      <c r="P55" s="26">
        <v>950.0</v>
      </c>
      <c r="Q55" s="26">
        <f t="shared" si="4"/>
        <v>950</v>
      </c>
      <c r="R55" s="26" t="str">
        <f t="shared" si="5"/>
        <v>OK</v>
      </c>
      <c r="S55" s="26">
        <v>15.0</v>
      </c>
      <c r="T55" s="26">
        <f t="shared" si="6"/>
        <v>15</v>
      </c>
      <c r="U55" s="26" t="s">
        <v>13</v>
      </c>
      <c r="V55" s="26" t="str">
        <f>IF(U55="","Unknown",IFERROR(VLOOKUP(U55,Lookup!$A$2:$B$6,2,FALSE),U55))</f>
        <v>Card</v>
      </c>
      <c r="W55" s="26"/>
      <c r="X55" s="26" t="str">
        <f t="shared" si="7"/>
        <v>Unknown</v>
      </c>
      <c r="Y55" s="52">
        <f t="shared" si="8"/>
        <v>4735</v>
      </c>
      <c r="Z55" s="52" t="str">
        <f t="shared" si="9"/>
        <v>Sale</v>
      </c>
      <c r="AA55" s="52">
        <f t="shared" si="10"/>
        <v>3325</v>
      </c>
      <c r="AB55" s="52">
        <f t="array" ref="AB55">_xlfn.XLOOKUP(K55,Products!$B$2:$B$5,Products!$E$2:$E$5)</f>
        <v>665</v>
      </c>
      <c r="AC55" s="52">
        <f t="shared" si="11"/>
        <v>1410</v>
      </c>
      <c r="AD55" s="52">
        <f t="shared" si="12"/>
        <v>1410</v>
      </c>
      <c r="AE55" s="53">
        <f t="shared" si="13"/>
        <v>0.297782471</v>
      </c>
      <c r="AF55" s="54"/>
      <c r="AG55" s="54"/>
    </row>
    <row r="56" ht="14.25" customHeight="1">
      <c r="A56" s="26">
        <v>1054.0</v>
      </c>
      <c r="B56" s="26" t="str">
        <f t="shared" si="15"/>
        <v>Ok</v>
      </c>
      <c r="C56" s="26" t="s">
        <v>162</v>
      </c>
      <c r="D56" s="31">
        <v>45715.0</v>
      </c>
      <c r="E56" s="26" t="s">
        <v>170</v>
      </c>
      <c r="F56" s="26" t="str">
        <f t="shared" si="2"/>
        <v>C018</v>
      </c>
      <c r="G56" s="26" t="s">
        <v>93</v>
      </c>
      <c r="H56" s="26" t="s">
        <v>94</v>
      </c>
      <c r="I56" s="26" t="s">
        <v>39</v>
      </c>
      <c r="J56" s="26" t="str">
        <f t="array" ref="J56">_xlfn.XLOOKUP(I56,Lookup!$D$2:$D$11,Lookup!$E$2:$E$11,I56)</f>
        <v>Bucuresti</v>
      </c>
      <c r="K56" s="26" t="s">
        <v>44</v>
      </c>
      <c r="L56" s="26" t="s">
        <v>42</v>
      </c>
      <c r="M56" s="26" t="str">
        <f>VLOOKUP(L56,Lookup!G:H,2,FALSE)</f>
        <v>Electronics</v>
      </c>
      <c r="N56" s="26">
        <v>0.0</v>
      </c>
      <c r="O56" s="26" t="str">
        <f t="shared" si="3"/>
        <v>Zero Quantity</v>
      </c>
      <c r="P56" s="26">
        <v>950.0</v>
      </c>
      <c r="Q56" s="26">
        <f t="shared" si="4"/>
        <v>950</v>
      </c>
      <c r="R56" s="26" t="str">
        <f t="shared" si="5"/>
        <v>OK</v>
      </c>
      <c r="S56" s="26">
        <v>120.0</v>
      </c>
      <c r="T56" s="26">
        <f t="shared" si="6"/>
        <v>120</v>
      </c>
      <c r="U56" s="26" t="s">
        <v>16</v>
      </c>
      <c r="V56" s="26" t="str">
        <f>IF(U56="","Unknown",IFERROR(VLOOKUP(U56,Lookup!$A$2:$B$6,2,FALSE),U56))</f>
        <v>Card</v>
      </c>
      <c r="W56" s="26" t="s">
        <v>79</v>
      </c>
      <c r="X56" s="26" t="str">
        <f t="shared" si="7"/>
        <v>George</v>
      </c>
      <c r="Y56" s="52">
        <f t="shared" si="8"/>
        <v>-120</v>
      </c>
      <c r="Z56" s="52" t="str">
        <f t="shared" si="9"/>
        <v>Invalid - Zero Quantity</v>
      </c>
      <c r="AA56" s="52">
        <f t="shared" si="10"/>
        <v>0</v>
      </c>
      <c r="AB56" s="52">
        <f t="array" ref="AB56">_xlfn.XLOOKUP(K56,Products!$B$2:$B$5,Products!$E$2:$E$5)</f>
        <v>665</v>
      </c>
      <c r="AC56" s="52">
        <f t="shared" si="11"/>
        <v>-120</v>
      </c>
      <c r="AD56" s="52" t="str">
        <f t="shared" si="12"/>
        <v/>
      </c>
      <c r="AE56" s="53" t="str">
        <f t="shared" si="13"/>
        <v/>
      </c>
      <c r="AF56" s="54"/>
      <c r="AG56" s="54"/>
    </row>
    <row r="57" ht="14.25" customHeight="1">
      <c r="A57" s="26">
        <v>1055.0</v>
      </c>
      <c r="B57" s="26" t="str">
        <f t="shared" si="15"/>
        <v>Ok</v>
      </c>
      <c r="C57" s="26" t="s">
        <v>171</v>
      </c>
      <c r="D57" s="31">
        <v>45694.0</v>
      </c>
      <c r="E57" s="26" t="s">
        <v>117</v>
      </c>
      <c r="F57" s="26" t="str">
        <f t="shared" si="2"/>
        <v>C021</v>
      </c>
      <c r="G57" s="26" t="s">
        <v>86</v>
      </c>
      <c r="H57" s="26" t="s">
        <v>97</v>
      </c>
      <c r="I57" s="26" t="s">
        <v>48</v>
      </c>
      <c r="J57" s="26" t="str">
        <f t="array" ref="J57">_xlfn.XLOOKUP(I57,Lookup!$D$2:$D$11,Lookup!$E$2:$E$11,I57)</f>
        <v>Bucuresti</v>
      </c>
      <c r="K57" s="26" t="s">
        <v>26</v>
      </c>
      <c r="L57" s="26" t="s">
        <v>24</v>
      </c>
      <c r="M57" s="26" t="str">
        <f>VLOOKUP(L57,Lookup!G:H,2,FALSE)</f>
        <v>Electronics</v>
      </c>
      <c r="N57" s="26">
        <v>0.0</v>
      </c>
      <c r="O57" s="26" t="str">
        <f t="shared" si="3"/>
        <v>Zero Quantity</v>
      </c>
      <c r="P57" s="26">
        <v>3500.0</v>
      </c>
      <c r="Q57" s="26">
        <f t="shared" si="4"/>
        <v>3500</v>
      </c>
      <c r="R57" s="26" t="str">
        <f t="shared" si="5"/>
        <v>OK</v>
      </c>
      <c r="S57" s="26">
        <v>5.0</v>
      </c>
      <c r="T57" s="26">
        <f t="shared" si="6"/>
        <v>5</v>
      </c>
      <c r="U57" s="26" t="s">
        <v>13</v>
      </c>
      <c r="V57" s="26" t="str">
        <f>IF(U57="","Unknown",IFERROR(VLOOKUP(U57,Lookup!$A$2:$B$6,2,FALSE),U57))</f>
        <v>Card</v>
      </c>
      <c r="W57" s="26" t="s">
        <v>80</v>
      </c>
      <c r="X57" s="26" t="str">
        <f t="shared" si="7"/>
        <v>Maria</v>
      </c>
      <c r="Y57" s="52">
        <f t="shared" si="8"/>
        <v>-5</v>
      </c>
      <c r="Z57" s="52" t="str">
        <f t="shared" si="9"/>
        <v>Invalid - Zero Quantity</v>
      </c>
      <c r="AA57" s="52">
        <f t="shared" si="10"/>
        <v>0</v>
      </c>
      <c r="AB57" s="52">
        <f t="array" ref="AB57">_xlfn.XLOOKUP(K57,Products!$B$2:$B$5,Products!$E$2:$E$5)</f>
        <v>2450</v>
      </c>
      <c r="AC57" s="52">
        <f t="shared" si="11"/>
        <v>-5</v>
      </c>
      <c r="AD57" s="52" t="str">
        <f t="shared" si="12"/>
        <v/>
      </c>
      <c r="AE57" s="53" t="str">
        <f t="shared" si="13"/>
        <v/>
      </c>
      <c r="AF57" s="54"/>
      <c r="AG57" s="54"/>
    </row>
    <row r="58" ht="14.25" customHeight="1">
      <c r="A58" s="26">
        <v>1056.0</v>
      </c>
      <c r="B58" s="26" t="str">
        <f t="shared" si="15"/>
        <v>Ok</v>
      </c>
      <c r="C58" s="26" t="s">
        <v>101</v>
      </c>
      <c r="D58" s="31">
        <v>45672.0</v>
      </c>
      <c r="E58" s="26" t="s">
        <v>105</v>
      </c>
      <c r="F58" s="26" t="str">
        <f t="shared" si="2"/>
        <v>C025</v>
      </c>
      <c r="G58" s="26" t="s">
        <v>103</v>
      </c>
      <c r="H58" s="26" t="s">
        <v>103</v>
      </c>
      <c r="I58" s="26" t="s">
        <v>31</v>
      </c>
      <c r="J58" s="26" t="str">
        <f t="array" ref="J58">_xlfn.XLOOKUP(I58,Lookup!$D$2:$D$11,Lookup!$E$2:$E$11,I58)</f>
        <v>Iasi</v>
      </c>
      <c r="K58" s="26" t="s">
        <v>34</v>
      </c>
      <c r="L58" s="26" t="s">
        <v>33</v>
      </c>
      <c r="M58" s="26" t="str">
        <f>VLOOKUP(L58,Lookup!G:H,2,FALSE)</f>
        <v>Electronics</v>
      </c>
      <c r="N58" s="26">
        <v>0.0</v>
      </c>
      <c r="O58" s="26" t="str">
        <f t="shared" si="3"/>
        <v>Zero Quantity</v>
      </c>
      <c r="P58" s="26">
        <v>120.0</v>
      </c>
      <c r="Q58" s="26">
        <f t="shared" si="4"/>
        <v>120</v>
      </c>
      <c r="R58" s="26" t="str">
        <f t="shared" si="5"/>
        <v>OK</v>
      </c>
      <c r="S58" s="26"/>
      <c r="T58" s="26" t="str">
        <f t="shared" si="6"/>
        <v>0</v>
      </c>
      <c r="U58" s="26" t="s">
        <v>38</v>
      </c>
      <c r="V58" s="26" t="str">
        <f>IF(U58="","Unknown",IFERROR(VLOOKUP(U58,Lookup!$A$2:$B$6,2,FALSE),U58))</f>
        <v>Bank Transfer</v>
      </c>
      <c r="W58" s="26" t="s">
        <v>78</v>
      </c>
      <c r="X58" s="26" t="str">
        <f t="shared" si="7"/>
        <v>Andrei</v>
      </c>
      <c r="Y58" s="52">
        <f t="shared" si="8"/>
        <v>0</v>
      </c>
      <c r="Z58" s="52" t="str">
        <f t="shared" si="9"/>
        <v>Invalid - Zero Quantity</v>
      </c>
      <c r="AA58" s="52">
        <f t="shared" si="10"/>
        <v>0</v>
      </c>
      <c r="AB58" s="52">
        <f t="array" ref="AB58">_xlfn.XLOOKUP(K58,Products!$B$2:$B$5,Products!$E$2:$E$5)</f>
        <v>84</v>
      </c>
      <c r="AC58" s="52">
        <f t="shared" si="11"/>
        <v>0</v>
      </c>
      <c r="AD58" s="52" t="str">
        <f t="shared" si="12"/>
        <v/>
      </c>
      <c r="AE58" s="53" t="str">
        <f t="shared" si="13"/>
        <v/>
      </c>
      <c r="AF58" s="54"/>
      <c r="AG58" s="54"/>
    </row>
    <row r="59" ht="14.25" customHeight="1">
      <c r="A59" s="26">
        <v>1057.0</v>
      </c>
      <c r="B59" s="26" t="str">
        <f t="shared" si="15"/>
        <v>Ok</v>
      </c>
      <c r="C59" s="26" t="s">
        <v>157</v>
      </c>
      <c r="D59" s="31">
        <v>45693.0</v>
      </c>
      <c r="E59" s="26" t="s">
        <v>116</v>
      </c>
      <c r="F59" s="26" t="str">
        <f t="shared" si="2"/>
        <v>C022</v>
      </c>
      <c r="G59" s="26" t="s">
        <v>102</v>
      </c>
      <c r="H59" s="26" t="s">
        <v>95</v>
      </c>
      <c r="I59" s="26" t="s">
        <v>58</v>
      </c>
      <c r="J59" s="26" t="str">
        <f t="array" ref="J59">_xlfn.XLOOKUP(I59,Lookup!$D$2:$D$11,Lookup!$E$2:$E$11,I59)</f>
        <v>Bucuresti</v>
      </c>
      <c r="K59" s="26" t="s">
        <v>51</v>
      </c>
      <c r="L59" s="26" t="s">
        <v>49</v>
      </c>
      <c r="M59" s="26" t="str">
        <f>VLOOKUP(L59,Lookup!G:H,2,FALSE)</f>
        <v>Furniture</v>
      </c>
      <c r="N59" s="26">
        <v>5.0</v>
      </c>
      <c r="O59" s="26" t="str">
        <f t="shared" si="3"/>
        <v>OK</v>
      </c>
      <c r="P59" s="26">
        <v>800.0</v>
      </c>
      <c r="Q59" s="26">
        <f t="shared" si="4"/>
        <v>800</v>
      </c>
      <c r="R59" s="26" t="str">
        <f t="shared" si="5"/>
        <v>OK</v>
      </c>
      <c r="S59" s="26"/>
      <c r="T59" s="26" t="str">
        <f t="shared" si="6"/>
        <v>0</v>
      </c>
      <c r="U59" s="26" t="s">
        <v>16</v>
      </c>
      <c r="V59" s="26" t="str">
        <f>IF(U59="","Unknown",IFERROR(VLOOKUP(U59,Lookup!$A$2:$B$6,2,FALSE),U59))</f>
        <v>Card</v>
      </c>
      <c r="W59" s="26" t="s">
        <v>79</v>
      </c>
      <c r="X59" s="26" t="str">
        <f t="shared" si="7"/>
        <v>George</v>
      </c>
      <c r="Y59" s="52">
        <f t="shared" si="8"/>
        <v>4000</v>
      </c>
      <c r="Z59" s="52" t="str">
        <f t="shared" si="9"/>
        <v>Sale</v>
      </c>
      <c r="AA59" s="52">
        <f t="shared" si="10"/>
        <v>2800</v>
      </c>
      <c r="AB59" s="52">
        <f t="array" ref="AB59">_xlfn.XLOOKUP(K59,Products!$B$2:$B$5,Products!$E$2:$E$5)</f>
        <v>560</v>
      </c>
      <c r="AC59" s="52">
        <f t="shared" si="11"/>
        <v>1200</v>
      </c>
      <c r="AD59" s="52">
        <f t="shared" si="12"/>
        <v>1200</v>
      </c>
      <c r="AE59" s="53">
        <f t="shared" si="13"/>
        <v>0.3</v>
      </c>
      <c r="AF59" s="54"/>
      <c r="AG59" s="54"/>
    </row>
    <row r="60" ht="14.25" customHeight="1">
      <c r="A60" s="26">
        <v>1058.0</v>
      </c>
      <c r="B60" s="26" t="str">
        <f t="shared" si="15"/>
        <v>Ok</v>
      </c>
      <c r="C60" s="26" t="s">
        <v>172</v>
      </c>
      <c r="D60" s="31">
        <v>45679.0</v>
      </c>
      <c r="E60" s="26" t="s">
        <v>105</v>
      </c>
      <c r="F60" s="26" t="str">
        <f t="shared" si="2"/>
        <v>C025</v>
      </c>
      <c r="G60" s="26" t="s">
        <v>102</v>
      </c>
      <c r="H60" s="26" t="s">
        <v>95</v>
      </c>
      <c r="I60" s="26" t="s">
        <v>41</v>
      </c>
      <c r="J60" s="26" t="str">
        <f t="array" ref="J60">_xlfn.XLOOKUP(I60,Lookup!$D$2:$D$11,Lookup!$E$2:$E$11,I60)</f>
        <v>Bucuresti</v>
      </c>
      <c r="K60" s="26" t="s">
        <v>34</v>
      </c>
      <c r="L60" s="26" t="s">
        <v>33</v>
      </c>
      <c r="M60" s="26" t="str">
        <f>VLOOKUP(L60,Lookup!G:H,2,FALSE)</f>
        <v>Electronics</v>
      </c>
      <c r="N60" s="26">
        <v>-1.0</v>
      </c>
      <c r="O60" s="26" t="str">
        <f t="shared" si="3"/>
        <v>Negative Quantity</v>
      </c>
      <c r="P60" s="26">
        <v>120.0</v>
      </c>
      <c r="Q60" s="26">
        <f t="shared" si="4"/>
        <v>120</v>
      </c>
      <c r="R60" s="26" t="str">
        <f t="shared" si="5"/>
        <v>OK</v>
      </c>
      <c r="S60" s="26"/>
      <c r="T60" s="26" t="str">
        <f t="shared" si="6"/>
        <v>0</v>
      </c>
      <c r="U60" s="26" t="s">
        <v>53</v>
      </c>
      <c r="V60" s="26" t="str">
        <f>IF(U60="","Unknown",IFERROR(VLOOKUP(U60,Lookup!$A$2:$B$6,2,FALSE),U60))</f>
        <v>Cash</v>
      </c>
      <c r="W60" s="26"/>
      <c r="X60" s="26" t="str">
        <f t="shared" si="7"/>
        <v>Unknown</v>
      </c>
      <c r="Y60" s="52">
        <f t="shared" si="8"/>
        <v>-120</v>
      </c>
      <c r="Z60" s="52" t="str">
        <f t="shared" si="9"/>
        <v>Possible Return</v>
      </c>
      <c r="AA60" s="52">
        <f t="shared" si="10"/>
        <v>-84</v>
      </c>
      <c r="AB60" s="52">
        <f t="array" ref="AB60">_xlfn.XLOOKUP(K60,Products!$B$2:$B$5,Products!$E$2:$E$5)</f>
        <v>84</v>
      </c>
      <c r="AC60" s="52">
        <f t="shared" si="11"/>
        <v>-36</v>
      </c>
      <c r="AD60" s="52" t="str">
        <f t="shared" si="12"/>
        <v/>
      </c>
      <c r="AE60" s="53" t="str">
        <f t="shared" si="13"/>
        <v/>
      </c>
      <c r="AF60" s="54"/>
      <c r="AG60" s="54"/>
    </row>
    <row r="61" ht="14.25" customHeight="1">
      <c r="A61" s="26">
        <v>1059.0</v>
      </c>
      <c r="B61" s="26" t="str">
        <f t="shared" si="15"/>
        <v>Ok</v>
      </c>
      <c r="C61" s="26" t="s">
        <v>165</v>
      </c>
      <c r="D61" s="31">
        <v>45661.0</v>
      </c>
      <c r="E61" s="26" t="s">
        <v>173</v>
      </c>
      <c r="F61" s="26" t="str">
        <f t="shared" si="2"/>
        <v>C006</v>
      </c>
      <c r="G61" s="26" t="s">
        <v>149</v>
      </c>
      <c r="H61" s="26" t="s">
        <v>100</v>
      </c>
      <c r="I61" s="26" t="s">
        <v>19</v>
      </c>
      <c r="J61" s="26" t="str">
        <f t="array" ref="J61">_xlfn.XLOOKUP(I61,Lookup!$D$2:$D$11,Lookup!$E$2:$E$11,I61)</f>
        <v>Cluj-Napoca</v>
      </c>
      <c r="K61" s="26" t="s">
        <v>34</v>
      </c>
      <c r="L61" s="26" t="s">
        <v>33</v>
      </c>
      <c r="M61" s="26" t="str">
        <f>VLOOKUP(L61,Lookup!G:H,2,FALSE)</f>
        <v>Electronics</v>
      </c>
      <c r="N61" s="26">
        <v>-1.0</v>
      </c>
      <c r="O61" s="26" t="str">
        <f t="shared" si="3"/>
        <v>Negative Quantity</v>
      </c>
      <c r="P61" s="26">
        <v>120.0</v>
      </c>
      <c r="Q61" s="26">
        <f t="shared" si="4"/>
        <v>120</v>
      </c>
      <c r="R61" s="26" t="str">
        <f t="shared" si="5"/>
        <v>OK</v>
      </c>
      <c r="S61" s="26">
        <v>120.0</v>
      </c>
      <c r="T61" s="26">
        <f t="shared" si="6"/>
        <v>120</v>
      </c>
      <c r="U61" s="26" t="s">
        <v>38</v>
      </c>
      <c r="V61" s="26" t="str">
        <f>IF(U61="","Unknown",IFERROR(VLOOKUP(U61,Lookup!$A$2:$B$6,2,FALSE),U61))</f>
        <v>Bank Transfer</v>
      </c>
      <c r="W61" s="26" t="s">
        <v>78</v>
      </c>
      <c r="X61" s="26" t="str">
        <f t="shared" si="7"/>
        <v>Andrei</v>
      </c>
      <c r="Y61" s="52">
        <f t="shared" si="8"/>
        <v>-240</v>
      </c>
      <c r="Z61" s="52" t="str">
        <f t="shared" si="9"/>
        <v>Possible Return</v>
      </c>
      <c r="AA61" s="52">
        <f t="shared" si="10"/>
        <v>-84</v>
      </c>
      <c r="AB61" s="52">
        <f t="array" ref="AB61">_xlfn.XLOOKUP(K61,Products!$B$2:$B$5,Products!$E$2:$E$5)</f>
        <v>84</v>
      </c>
      <c r="AC61" s="52">
        <f t="shared" si="11"/>
        <v>-156</v>
      </c>
      <c r="AD61" s="52" t="str">
        <f t="shared" si="12"/>
        <v/>
      </c>
      <c r="AE61" s="53" t="str">
        <f t="shared" si="13"/>
        <v/>
      </c>
      <c r="AF61" s="54"/>
      <c r="AG61" s="54"/>
    </row>
    <row r="62" ht="14.25" customHeight="1">
      <c r="A62" s="26">
        <v>1060.0</v>
      </c>
      <c r="B62" s="26" t="str">
        <f t="shared" si="15"/>
        <v>Ok</v>
      </c>
      <c r="C62" s="26" t="s">
        <v>174</v>
      </c>
      <c r="D62" s="31">
        <v>45684.0</v>
      </c>
      <c r="E62" s="26" t="s">
        <v>137</v>
      </c>
      <c r="F62" s="26" t="str">
        <f t="shared" si="2"/>
        <v>C007</v>
      </c>
      <c r="G62" s="26" t="s">
        <v>141</v>
      </c>
      <c r="H62" s="26" t="s">
        <v>100</v>
      </c>
      <c r="I62" s="26" t="s">
        <v>31</v>
      </c>
      <c r="J62" s="26" t="str">
        <f t="array" ref="J62">_xlfn.XLOOKUP(I62,Lookup!$D$2:$D$11,Lookup!$E$2:$E$11,I62)</f>
        <v>Iasi</v>
      </c>
      <c r="K62" s="26" t="s">
        <v>51</v>
      </c>
      <c r="L62" s="26" t="s">
        <v>49</v>
      </c>
      <c r="M62" s="26" t="str">
        <f>VLOOKUP(L62,Lookup!G:H,2,FALSE)</f>
        <v>Furniture</v>
      </c>
      <c r="N62" s="26">
        <v>25.0</v>
      </c>
      <c r="O62" s="26" t="str">
        <f t="shared" si="3"/>
        <v>OK</v>
      </c>
      <c r="P62" s="26">
        <v>800.0</v>
      </c>
      <c r="Q62" s="26">
        <f t="shared" si="4"/>
        <v>800</v>
      </c>
      <c r="R62" s="26" t="str">
        <f t="shared" si="5"/>
        <v>OK</v>
      </c>
      <c r="S62" s="26">
        <v>5.0</v>
      </c>
      <c r="T62" s="26">
        <f t="shared" si="6"/>
        <v>5</v>
      </c>
      <c r="U62" s="26" t="s">
        <v>37</v>
      </c>
      <c r="V62" s="26" t="str">
        <f>IF(U62="","Unknown",IFERROR(VLOOKUP(U62,Lookup!$A$2:$B$6,2,FALSE),U62))</f>
        <v>Bank Transfer</v>
      </c>
      <c r="W62" s="26" t="s">
        <v>78</v>
      </c>
      <c r="X62" s="26" t="str">
        <f t="shared" si="7"/>
        <v>Andrei</v>
      </c>
      <c r="Y62" s="52">
        <f t="shared" si="8"/>
        <v>19995</v>
      </c>
      <c r="Z62" s="52" t="str">
        <f t="shared" si="9"/>
        <v>Sale</v>
      </c>
      <c r="AA62" s="52">
        <f t="shared" si="10"/>
        <v>14000</v>
      </c>
      <c r="AB62" s="52">
        <f t="array" ref="AB62">_xlfn.XLOOKUP(K62,Products!$B$2:$B$5,Products!$E$2:$E$5)</f>
        <v>560</v>
      </c>
      <c r="AC62" s="52">
        <f t="shared" si="11"/>
        <v>5995</v>
      </c>
      <c r="AD62" s="52">
        <f t="shared" si="12"/>
        <v>5995</v>
      </c>
      <c r="AE62" s="53">
        <f t="shared" si="13"/>
        <v>0.2998249562</v>
      </c>
      <c r="AF62" s="54"/>
      <c r="AG62" s="54"/>
    </row>
    <row r="63" ht="14.25" customHeight="1">
      <c r="A63" s="26">
        <v>1061.0</v>
      </c>
      <c r="B63" s="26" t="str">
        <f t="shared" si="15"/>
        <v>Ok</v>
      </c>
      <c r="C63" s="26" t="s">
        <v>175</v>
      </c>
      <c r="D63" s="31">
        <v>45685.0</v>
      </c>
      <c r="E63" s="26" t="s">
        <v>167</v>
      </c>
      <c r="F63" s="26" t="str">
        <f t="shared" si="2"/>
        <v>C019</v>
      </c>
      <c r="G63" s="26" t="s">
        <v>141</v>
      </c>
      <c r="H63" s="26" t="s">
        <v>100</v>
      </c>
      <c r="I63" s="26" t="s">
        <v>19</v>
      </c>
      <c r="J63" s="26" t="str">
        <f t="array" ref="J63">_xlfn.XLOOKUP(I63,Lookup!$D$2:$D$11,Lookup!$E$2:$E$11,I63)</f>
        <v>Cluj-Napoca</v>
      </c>
      <c r="K63" s="26" t="s">
        <v>34</v>
      </c>
      <c r="L63" s="26" t="s">
        <v>33</v>
      </c>
      <c r="M63" s="26" t="str">
        <f>VLOOKUP(L63,Lookup!G:H,2,FALSE)</f>
        <v>Electronics</v>
      </c>
      <c r="N63" s="26">
        <v>-1.0</v>
      </c>
      <c r="O63" s="26" t="str">
        <f t="shared" si="3"/>
        <v>Negative Quantity</v>
      </c>
      <c r="P63" s="26">
        <v>120.0</v>
      </c>
      <c r="Q63" s="26">
        <f t="shared" si="4"/>
        <v>120</v>
      </c>
      <c r="R63" s="26" t="str">
        <f t="shared" si="5"/>
        <v>OK</v>
      </c>
      <c r="S63" s="26"/>
      <c r="T63" s="26" t="str">
        <f t="shared" si="6"/>
        <v>0</v>
      </c>
      <c r="U63" s="26"/>
      <c r="V63" s="26" t="str">
        <f>IF(U63="","Unknown",IFERROR(VLOOKUP(U63,Lookup!$A$2:$B$6,2,FALSE),U63))</f>
        <v>Unknown</v>
      </c>
      <c r="W63" s="26" t="s">
        <v>78</v>
      </c>
      <c r="X63" s="26" t="str">
        <f t="shared" si="7"/>
        <v>Andrei</v>
      </c>
      <c r="Y63" s="52">
        <f t="shared" si="8"/>
        <v>-120</v>
      </c>
      <c r="Z63" s="52" t="str">
        <f t="shared" si="9"/>
        <v>Possible Return</v>
      </c>
      <c r="AA63" s="52">
        <f t="shared" si="10"/>
        <v>-84</v>
      </c>
      <c r="AB63" s="52">
        <f t="array" ref="AB63">_xlfn.XLOOKUP(K63,Products!$B$2:$B$5,Products!$E$2:$E$5)</f>
        <v>84</v>
      </c>
      <c r="AC63" s="52">
        <f t="shared" si="11"/>
        <v>-36</v>
      </c>
      <c r="AD63" s="52" t="str">
        <f t="shared" si="12"/>
        <v/>
      </c>
      <c r="AE63" s="53" t="str">
        <f t="shared" si="13"/>
        <v/>
      </c>
      <c r="AF63" s="54"/>
      <c r="AG63" s="54"/>
    </row>
    <row r="64" ht="14.25" customHeight="1">
      <c r="A64" s="26">
        <v>1062.0</v>
      </c>
      <c r="B64" s="26" t="str">
        <f t="shared" si="15"/>
        <v>Ok</v>
      </c>
      <c r="C64" s="26" t="s">
        <v>176</v>
      </c>
      <c r="D64" s="31">
        <v>45701.0</v>
      </c>
      <c r="E64" s="26" t="s">
        <v>88</v>
      </c>
      <c r="F64" s="26" t="str">
        <f t="shared" si="2"/>
        <v>C012</v>
      </c>
      <c r="G64" s="26" t="s">
        <v>160</v>
      </c>
      <c r="H64" s="26" t="s">
        <v>103</v>
      </c>
      <c r="I64" s="26" t="s">
        <v>39</v>
      </c>
      <c r="J64" s="26" t="str">
        <f t="array" ref="J64">_xlfn.XLOOKUP(I64,Lookup!$D$2:$D$11,Lookup!$E$2:$E$11,I64)</f>
        <v>Bucuresti</v>
      </c>
      <c r="K64" s="26" t="s">
        <v>34</v>
      </c>
      <c r="L64" s="26" t="s">
        <v>33</v>
      </c>
      <c r="M64" s="26" t="str">
        <f>VLOOKUP(L64,Lookup!G:H,2,FALSE)</f>
        <v>Electronics</v>
      </c>
      <c r="N64" s="26">
        <v>25.0</v>
      </c>
      <c r="O64" s="26" t="str">
        <f t="shared" si="3"/>
        <v>OK</v>
      </c>
      <c r="P64" s="26">
        <v>120.0</v>
      </c>
      <c r="Q64" s="26">
        <f t="shared" si="4"/>
        <v>120</v>
      </c>
      <c r="R64" s="26" t="str">
        <f t="shared" si="5"/>
        <v>OK</v>
      </c>
      <c r="S64" s="26"/>
      <c r="T64" s="26" t="str">
        <f t="shared" si="6"/>
        <v>0</v>
      </c>
      <c r="U64" s="26"/>
      <c r="V64" s="26" t="str">
        <f>IF(U64="","Unknown",IFERROR(VLOOKUP(U64,Lookup!$A$2:$B$6,2,FALSE),U64))</f>
        <v>Unknown</v>
      </c>
      <c r="W64" s="26" t="s">
        <v>80</v>
      </c>
      <c r="X64" s="26" t="str">
        <f t="shared" si="7"/>
        <v>Maria</v>
      </c>
      <c r="Y64" s="52">
        <f t="shared" si="8"/>
        <v>3000</v>
      </c>
      <c r="Z64" s="52" t="str">
        <f t="shared" si="9"/>
        <v>Sale</v>
      </c>
      <c r="AA64" s="52">
        <f t="shared" si="10"/>
        <v>2100</v>
      </c>
      <c r="AB64" s="52">
        <f t="array" ref="AB64">_xlfn.XLOOKUP(K64,Products!$B$2:$B$5,Products!$E$2:$E$5)</f>
        <v>84</v>
      </c>
      <c r="AC64" s="52">
        <f t="shared" si="11"/>
        <v>900</v>
      </c>
      <c r="AD64" s="52">
        <f t="shared" si="12"/>
        <v>900</v>
      </c>
      <c r="AE64" s="53">
        <f t="shared" si="13"/>
        <v>0.3</v>
      </c>
      <c r="AF64" s="54"/>
      <c r="AG64" s="54"/>
    </row>
    <row r="65" ht="14.25" customHeight="1">
      <c r="A65" s="26">
        <v>1063.0</v>
      </c>
      <c r="B65" s="26" t="str">
        <f t="shared" si="15"/>
        <v>Ok</v>
      </c>
      <c r="C65" s="26" t="s">
        <v>177</v>
      </c>
      <c r="D65" s="31">
        <v>45687.0</v>
      </c>
      <c r="E65" s="26" t="s">
        <v>116</v>
      </c>
      <c r="F65" s="26" t="str">
        <f t="shared" si="2"/>
        <v>C022</v>
      </c>
      <c r="G65" s="26" t="s">
        <v>93</v>
      </c>
      <c r="H65" s="26" t="s">
        <v>94</v>
      </c>
      <c r="I65" s="26" t="s">
        <v>58</v>
      </c>
      <c r="J65" s="26" t="str">
        <f t="array" ref="J65">_xlfn.XLOOKUP(I65,Lookup!$D$2:$D$11,Lookup!$E$2:$E$11,I65)</f>
        <v>Bucuresti</v>
      </c>
      <c r="K65" s="26" t="s">
        <v>51</v>
      </c>
      <c r="L65" s="26" t="s">
        <v>49</v>
      </c>
      <c r="M65" s="26" t="str">
        <f>VLOOKUP(L65,Lookup!G:H,2,FALSE)</f>
        <v>Furniture</v>
      </c>
      <c r="N65" s="26">
        <v>0.0</v>
      </c>
      <c r="O65" s="26" t="str">
        <f t="shared" si="3"/>
        <v>Zero Quantity</v>
      </c>
      <c r="P65" s="26">
        <v>800.0</v>
      </c>
      <c r="Q65" s="26">
        <f t="shared" si="4"/>
        <v>800</v>
      </c>
      <c r="R65" s="26" t="str">
        <f t="shared" si="5"/>
        <v>OK</v>
      </c>
      <c r="S65" s="26">
        <v>10.0</v>
      </c>
      <c r="T65" s="26">
        <f t="shared" si="6"/>
        <v>10</v>
      </c>
      <c r="U65" s="26" t="s">
        <v>16</v>
      </c>
      <c r="V65" s="26" t="str">
        <f>IF(U65="","Unknown",IFERROR(VLOOKUP(U65,Lookup!$A$2:$B$6,2,FALSE),U65))</f>
        <v>Card</v>
      </c>
      <c r="W65" s="26"/>
      <c r="X65" s="26" t="str">
        <f t="shared" si="7"/>
        <v>Unknown</v>
      </c>
      <c r="Y65" s="52">
        <f t="shared" si="8"/>
        <v>-10</v>
      </c>
      <c r="Z65" s="52" t="str">
        <f t="shared" si="9"/>
        <v>Invalid - Zero Quantity</v>
      </c>
      <c r="AA65" s="52">
        <f t="shared" si="10"/>
        <v>0</v>
      </c>
      <c r="AB65" s="52">
        <f t="array" ref="AB65">_xlfn.XLOOKUP(K65,Products!$B$2:$B$5,Products!$E$2:$E$5)</f>
        <v>560</v>
      </c>
      <c r="AC65" s="52">
        <f t="shared" si="11"/>
        <v>-10</v>
      </c>
      <c r="AD65" s="52" t="str">
        <f t="shared" si="12"/>
        <v/>
      </c>
      <c r="AE65" s="53" t="str">
        <f t="shared" si="13"/>
        <v/>
      </c>
      <c r="AF65" s="54"/>
      <c r="AG65" s="54"/>
    </row>
    <row r="66" ht="14.25" customHeight="1">
      <c r="A66" s="26">
        <v>1064.0</v>
      </c>
      <c r="B66" s="26" t="str">
        <f t="shared" si="15"/>
        <v>Ok</v>
      </c>
      <c r="C66" s="26" t="s">
        <v>178</v>
      </c>
      <c r="D66" s="31">
        <v>45676.0</v>
      </c>
      <c r="E66" s="26" t="s">
        <v>145</v>
      </c>
      <c r="F66" s="26" t="str">
        <f t="shared" si="2"/>
        <v>C017</v>
      </c>
      <c r="G66" s="26" t="s">
        <v>93</v>
      </c>
      <c r="H66" s="26" t="s">
        <v>94</v>
      </c>
      <c r="I66" s="26" t="s">
        <v>31</v>
      </c>
      <c r="J66" s="26" t="str">
        <f t="array" ref="J66">_xlfn.XLOOKUP(I66,Lookup!$D$2:$D$11,Lookup!$E$2:$E$11,I66)</f>
        <v>Iasi</v>
      </c>
      <c r="K66" s="26" t="s">
        <v>26</v>
      </c>
      <c r="L66" s="26" t="s">
        <v>24</v>
      </c>
      <c r="M66" s="26" t="str">
        <f>VLOOKUP(L66,Lookup!G:H,2,FALSE)</f>
        <v>Electronics</v>
      </c>
      <c r="N66" s="26">
        <v>25.0</v>
      </c>
      <c r="O66" s="26" t="str">
        <f t="shared" si="3"/>
        <v>OK</v>
      </c>
      <c r="P66" s="26">
        <v>3500.0</v>
      </c>
      <c r="Q66" s="26">
        <f t="shared" si="4"/>
        <v>3500</v>
      </c>
      <c r="R66" s="26" t="str">
        <f t="shared" si="5"/>
        <v>OK</v>
      </c>
      <c r="S66" s="26">
        <v>10.0</v>
      </c>
      <c r="T66" s="26">
        <f t="shared" si="6"/>
        <v>10</v>
      </c>
      <c r="U66" s="26" t="s">
        <v>38</v>
      </c>
      <c r="V66" s="26" t="str">
        <f>IF(U66="","Unknown",IFERROR(VLOOKUP(U66,Lookup!$A$2:$B$6,2,FALSE),U66))</f>
        <v>Bank Transfer</v>
      </c>
      <c r="W66" s="26"/>
      <c r="X66" s="26" t="str">
        <f t="shared" si="7"/>
        <v>Unknown</v>
      </c>
      <c r="Y66" s="52">
        <f t="shared" si="8"/>
        <v>87490</v>
      </c>
      <c r="Z66" s="52" t="str">
        <f t="shared" si="9"/>
        <v>Sale</v>
      </c>
      <c r="AA66" s="52">
        <f t="shared" si="10"/>
        <v>61250</v>
      </c>
      <c r="AB66" s="52">
        <f t="array" ref="AB66">_xlfn.XLOOKUP(K66,Products!$B$2:$B$5,Products!$E$2:$E$5)</f>
        <v>2450</v>
      </c>
      <c r="AC66" s="52">
        <f t="shared" si="11"/>
        <v>26240</v>
      </c>
      <c r="AD66" s="52">
        <f t="shared" si="12"/>
        <v>26240</v>
      </c>
      <c r="AE66" s="53">
        <f t="shared" si="13"/>
        <v>0.2999199909</v>
      </c>
      <c r="AF66" s="54"/>
      <c r="AG66" s="54"/>
    </row>
    <row r="67" ht="14.25" customHeight="1">
      <c r="A67" s="26">
        <v>1065.0</v>
      </c>
      <c r="B67" s="26" t="str">
        <f t="shared" si="15"/>
        <v>Ok</v>
      </c>
      <c r="C67" s="26" t="s">
        <v>146</v>
      </c>
      <c r="D67" s="31">
        <v>45685.0</v>
      </c>
      <c r="E67" s="26" t="s">
        <v>170</v>
      </c>
      <c r="F67" s="26" t="str">
        <f t="shared" si="2"/>
        <v>C018</v>
      </c>
      <c r="G67" s="26" t="s">
        <v>102</v>
      </c>
      <c r="H67" s="26" t="s">
        <v>95</v>
      </c>
      <c r="I67" s="26" t="s">
        <v>48</v>
      </c>
      <c r="J67" s="26" t="str">
        <f t="array" ref="J67">_xlfn.XLOOKUP(I67,Lookup!$D$2:$D$11,Lookup!$E$2:$E$11,I67)</f>
        <v>Bucuresti</v>
      </c>
      <c r="K67" s="26" t="s">
        <v>44</v>
      </c>
      <c r="L67" s="26" t="s">
        <v>42</v>
      </c>
      <c r="M67" s="26" t="str">
        <f>VLOOKUP(L67,Lookup!G:H,2,FALSE)</f>
        <v>Electronics</v>
      </c>
      <c r="N67" s="26">
        <v>-1.0</v>
      </c>
      <c r="O67" s="26" t="str">
        <f t="shared" si="3"/>
        <v>Negative Quantity</v>
      </c>
      <c r="P67" s="26">
        <v>950.0</v>
      </c>
      <c r="Q67" s="26">
        <f t="shared" si="4"/>
        <v>950</v>
      </c>
      <c r="R67" s="26" t="str">
        <f t="shared" si="5"/>
        <v>OK</v>
      </c>
      <c r="S67" s="26">
        <v>15.0</v>
      </c>
      <c r="T67" s="26">
        <f t="shared" si="6"/>
        <v>15</v>
      </c>
      <c r="U67" s="26" t="s">
        <v>37</v>
      </c>
      <c r="V67" s="26" t="str">
        <f>IF(U67="","Unknown",IFERROR(VLOOKUP(U67,Lookup!$A$2:$B$6,2,FALSE),U67))</f>
        <v>Bank Transfer</v>
      </c>
      <c r="W67" s="26" t="s">
        <v>78</v>
      </c>
      <c r="X67" s="26" t="str">
        <f t="shared" si="7"/>
        <v>Andrei</v>
      </c>
      <c r="Y67" s="52">
        <f t="shared" si="8"/>
        <v>-965</v>
      </c>
      <c r="Z67" s="52" t="str">
        <f t="shared" si="9"/>
        <v>Possible Return</v>
      </c>
      <c r="AA67" s="52">
        <f t="shared" si="10"/>
        <v>-665</v>
      </c>
      <c r="AB67" s="52">
        <f t="array" ref="AB67">_xlfn.XLOOKUP(K67,Products!$B$2:$B$5,Products!$E$2:$E$5)</f>
        <v>665</v>
      </c>
      <c r="AC67" s="52">
        <f t="shared" si="11"/>
        <v>-300</v>
      </c>
      <c r="AD67" s="52" t="str">
        <f t="shared" si="12"/>
        <v/>
      </c>
      <c r="AE67" s="53" t="str">
        <f t="shared" si="13"/>
        <v/>
      </c>
      <c r="AF67" s="54"/>
      <c r="AG67" s="54"/>
    </row>
    <row r="68" ht="14.25" customHeight="1">
      <c r="A68" s="26">
        <v>1066.0</v>
      </c>
      <c r="B68" s="26" t="str">
        <f t="shared" si="15"/>
        <v>Ok</v>
      </c>
      <c r="C68" s="26" t="s">
        <v>179</v>
      </c>
      <c r="D68" s="31">
        <v>45711.0</v>
      </c>
      <c r="E68" s="26" t="s">
        <v>114</v>
      </c>
      <c r="F68" s="26" t="str">
        <f t="shared" si="2"/>
        <v>C009</v>
      </c>
      <c r="G68" s="26" t="s">
        <v>68</v>
      </c>
      <c r="H68" s="26" t="s">
        <v>68</v>
      </c>
      <c r="I68" s="26" t="s">
        <v>41</v>
      </c>
      <c r="J68" s="26" t="str">
        <f t="array" ref="J68">_xlfn.XLOOKUP(I68,Lookup!$D$2:$D$11,Lookup!$E$2:$E$11,I68)</f>
        <v>Bucuresti</v>
      </c>
      <c r="K68" s="26" t="s">
        <v>26</v>
      </c>
      <c r="L68" s="26" t="s">
        <v>24</v>
      </c>
      <c r="M68" s="26" t="str">
        <f>VLOOKUP(L68,Lookup!G:H,2,FALSE)</f>
        <v>Electronics</v>
      </c>
      <c r="N68" s="26">
        <v>3.0</v>
      </c>
      <c r="O68" s="26" t="str">
        <f t="shared" si="3"/>
        <v>OK</v>
      </c>
      <c r="P68" s="26">
        <v>-3500.0</v>
      </c>
      <c r="Q68" s="26">
        <f t="shared" si="4"/>
        <v>3500</v>
      </c>
      <c r="R68" s="26" t="str">
        <f t="shared" si="5"/>
        <v>Negative Quantity</v>
      </c>
      <c r="S68" s="26">
        <v>5.0</v>
      </c>
      <c r="T68" s="26">
        <f t="shared" si="6"/>
        <v>5</v>
      </c>
      <c r="U68" s="26" t="s">
        <v>37</v>
      </c>
      <c r="V68" s="26" t="str">
        <f>IF(U68="","Unknown",IFERROR(VLOOKUP(U68,Lookup!$A$2:$B$6,2,FALSE),U68))</f>
        <v>Bank Transfer</v>
      </c>
      <c r="W68" s="26" t="s">
        <v>79</v>
      </c>
      <c r="X68" s="26" t="str">
        <f t="shared" si="7"/>
        <v>George</v>
      </c>
      <c r="Y68" s="52">
        <f t="shared" si="8"/>
        <v>10495</v>
      </c>
      <c r="Z68" s="52" t="str">
        <f t="shared" si="9"/>
        <v>Sale</v>
      </c>
      <c r="AA68" s="52">
        <f t="shared" si="10"/>
        <v>7350</v>
      </c>
      <c r="AB68" s="52">
        <f t="array" ref="AB68">_xlfn.XLOOKUP(K68,Products!$B$2:$B$5,Products!$E$2:$E$5)</f>
        <v>2450</v>
      </c>
      <c r="AC68" s="52">
        <f t="shared" si="11"/>
        <v>3145</v>
      </c>
      <c r="AD68" s="52">
        <f t="shared" si="12"/>
        <v>3145</v>
      </c>
      <c r="AE68" s="53">
        <f t="shared" si="13"/>
        <v>0.2996665079</v>
      </c>
      <c r="AF68" s="54"/>
      <c r="AG68" s="54"/>
    </row>
    <row r="69" ht="14.25" customHeight="1">
      <c r="A69" s="26">
        <v>1067.0</v>
      </c>
      <c r="B69" s="26" t="str">
        <f t="shared" si="15"/>
        <v>Ok</v>
      </c>
      <c r="C69" s="26" t="s">
        <v>180</v>
      </c>
      <c r="D69" s="31">
        <v>45682.0</v>
      </c>
      <c r="E69" s="26" t="s">
        <v>105</v>
      </c>
      <c r="F69" s="26" t="str">
        <f t="shared" si="2"/>
        <v>C025</v>
      </c>
      <c r="G69" s="26" t="s">
        <v>93</v>
      </c>
      <c r="H69" s="26" t="s">
        <v>94</v>
      </c>
      <c r="I69" s="26" t="s">
        <v>39</v>
      </c>
      <c r="J69" s="26" t="str">
        <f t="array" ref="J69">_xlfn.XLOOKUP(I69,Lookup!$D$2:$D$11,Lookup!$E$2:$E$11,I69)</f>
        <v>Bucuresti</v>
      </c>
      <c r="K69" s="26" t="s">
        <v>44</v>
      </c>
      <c r="L69" s="26" t="s">
        <v>42</v>
      </c>
      <c r="M69" s="26" t="str">
        <f>VLOOKUP(L69,Lookup!G:H,2,FALSE)</f>
        <v>Electronics</v>
      </c>
      <c r="N69" s="26">
        <v>-1.0</v>
      </c>
      <c r="O69" s="26" t="str">
        <f t="shared" si="3"/>
        <v>Negative Quantity</v>
      </c>
      <c r="P69" s="26">
        <v>950.0</v>
      </c>
      <c r="Q69" s="26">
        <f t="shared" si="4"/>
        <v>950</v>
      </c>
      <c r="R69" s="26" t="str">
        <f t="shared" si="5"/>
        <v>OK</v>
      </c>
      <c r="S69" s="26">
        <v>120.0</v>
      </c>
      <c r="T69" s="26">
        <f t="shared" si="6"/>
        <v>120</v>
      </c>
      <c r="U69" s="26" t="s">
        <v>37</v>
      </c>
      <c r="V69" s="26" t="str">
        <f>IF(U69="","Unknown",IFERROR(VLOOKUP(U69,Lookup!$A$2:$B$6,2,FALSE),U69))</f>
        <v>Bank Transfer</v>
      </c>
      <c r="W69" s="26" t="s">
        <v>78</v>
      </c>
      <c r="X69" s="26" t="str">
        <f t="shared" si="7"/>
        <v>Andrei</v>
      </c>
      <c r="Y69" s="52">
        <f t="shared" si="8"/>
        <v>-1070</v>
      </c>
      <c r="Z69" s="52" t="str">
        <f t="shared" si="9"/>
        <v>Possible Return</v>
      </c>
      <c r="AA69" s="52">
        <f t="shared" si="10"/>
        <v>-665</v>
      </c>
      <c r="AB69" s="52">
        <f t="array" ref="AB69">_xlfn.XLOOKUP(K69,Products!$B$2:$B$5,Products!$E$2:$E$5)</f>
        <v>665</v>
      </c>
      <c r="AC69" s="52">
        <f t="shared" si="11"/>
        <v>-405</v>
      </c>
      <c r="AD69" s="52" t="str">
        <f t="shared" si="12"/>
        <v/>
      </c>
      <c r="AE69" s="53" t="str">
        <f t="shared" si="13"/>
        <v/>
      </c>
      <c r="AF69" s="54"/>
      <c r="AG69" s="54"/>
    </row>
    <row r="70" ht="14.25" customHeight="1">
      <c r="A70" s="26">
        <v>1068.0</v>
      </c>
      <c r="B70" s="26" t="str">
        <f t="shared" si="15"/>
        <v>Ok</v>
      </c>
      <c r="C70" s="26" t="s">
        <v>181</v>
      </c>
      <c r="D70" s="31">
        <v>45700.0</v>
      </c>
      <c r="E70" s="26" t="s">
        <v>119</v>
      </c>
      <c r="F70" s="26" t="str">
        <f t="shared" si="2"/>
        <v>C016</v>
      </c>
      <c r="G70" s="26" t="s">
        <v>99</v>
      </c>
      <c r="H70" s="26" t="s">
        <v>95</v>
      </c>
      <c r="I70" s="26" t="s">
        <v>58</v>
      </c>
      <c r="J70" s="26" t="str">
        <f t="array" ref="J70">_xlfn.XLOOKUP(I70,Lookup!$D$2:$D$11,Lookup!$E$2:$E$11,I70)</f>
        <v>Bucuresti</v>
      </c>
      <c r="K70" s="26" t="s">
        <v>44</v>
      </c>
      <c r="L70" s="26" t="s">
        <v>42</v>
      </c>
      <c r="M70" s="26" t="str">
        <f>VLOOKUP(L70,Lookup!G:H,2,FALSE)</f>
        <v>Electronics</v>
      </c>
      <c r="N70" s="26">
        <v>25.0</v>
      </c>
      <c r="O70" s="26" t="str">
        <f t="shared" si="3"/>
        <v>OK</v>
      </c>
      <c r="P70" s="26">
        <v>950.0</v>
      </c>
      <c r="Q70" s="26">
        <f t="shared" si="4"/>
        <v>950</v>
      </c>
      <c r="R70" s="26" t="str">
        <f t="shared" si="5"/>
        <v>OK</v>
      </c>
      <c r="S70" s="26">
        <v>15.0</v>
      </c>
      <c r="T70" s="26">
        <f t="shared" si="6"/>
        <v>15</v>
      </c>
      <c r="U70" s="26" t="s">
        <v>16</v>
      </c>
      <c r="V70" s="26" t="str">
        <f>IF(U70="","Unknown",IFERROR(VLOOKUP(U70,Lookup!$A$2:$B$6,2,FALSE),U70))</f>
        <v>Card</v>
      </c>
      <c r="W70" s="26" t="s">
        <v>78</v>
      </c>
      <c r="X70" s="26" t="str">
        <f t="shared" si="7"/>
        <v>Andrei</v>
      </c>
      <c r="Y70" s="52">
        <f t="shared" si="8"/>
        <v>23735</v>
      </c>
      <c r="Z70" s="52" t="str">
        <f t="shared" si="9"/>
        <v>Sale</v>
      </c>
      <c r="AA70" s="52">
        <f t="shared" si="10"/>
        <v>16625</v>
      </c>
      <c r="AB70" s="52">
        <f t="array" ref="AB70">_xlfn.XLOOKUP(K70,Products!$B$2:$B$5,Products!$E$2:$E$5)</f>
        <v>665</v>
      </c>
      <c r="AC70" s="52">
        <f t="shared" si="11"/>
        <v>7110</v>
      </c>
      <c r="AD70" s="52">
        <f t="shared" si="12"/>
        <v>7110</v>
      </c>
      <c r="AE70" s="53">
        <f t="shared" si="13"/>
        <v>0.2995576153</v>
      </c>
      <c r="AF70" s="54"/>
      <c r="AG70" s="54"/>
    </row>
    <row r="71" ht="14.25" customHeight="1">
      <c r="A71" s="26">
        <v>1069.0</v>
      </c>
      <c r="B71" s="26" t="str">
        <f t="shared" si="15"/>
        <v>Ok</v>
      </c>
      <c r="C71" s="26" t="s">
        <v>96</v>
      </c>
      <c r="D71" s="31">
        <v>45706.0</v>
      </c>
      <c r="E71" s="26" t="s">
        <v>92</v>
      </c>
      <c r="F71" s="26" t="str">
        <f t="shared" si="2"/>
        <v>C002</v>
      </c>
      <c r="G71" s="26" t="s">
        <v>99</v>
      </c>
      <c r="H71" s="26" t="s">
        <v>95</v>
      </c>
      <c r="I71" s="26" t="s">
        <v>60</v>
      </c>
      <c r="J71" s="26" t="str">
        <f t="array" ref="J71">_xlfn.XLOOKUP(I71,Lookup!$D$2:$D$11,Lookup!$E$2:$E$11,I71)</f>
        <v>Iasi</v>
      </c>
      <c r="K71" s="26" t="s">
        <v>51</v>
      </c>
      <c r="L71" s="26" t="s">
        <v>49</v>
      </c>
      <c r="M71" s="26" t="str">
        <f>VLOOKUP(L71,Lookup!G:H,2,FALSE)</f>
        <v>Furniture</v>
      </c>
      <c r="N71" s="26">
        <v>5.0</v>
      </c>
      <c r="O71" s="26" t="str">
        <f t="shared" si="3"/>
        <v>OK</v>
      </c>
      <c r="P71" s="26">
        <v>800.0</v>
      </c>
      <c r="Q71" s="26">
        <f t="shared" si="4"/>
        <v>800</v>
      </c>
      <c r="R71" s="26" t="str">
        <f t="shared" si="5"/>
        <v>OK</v>
      </c>
      <c r="S71" s="26"/>
      <c r="T71" s="26" t="str">
        <f t="shared" si="6"/>
        <v>0</v>
      </c>
      <c r="U71" s="26"/>
      <c r="V71" s="26" t="str">
        <f>IF(U71="","Unknown",IFERROR(VLOOKUP(U71,Lookup!$A$2:$B$6,2,FALSE),U71))</f>
        <v>Unknown</v>
      </c>
      <c r="W71" s="26" t="s">
        <v>80</v>
      </c>
      <c r="X71" s="26" t="str">
        <f t="shared" si="7"/>
        <v>Maria</v>
      </c>
      <c r="Y71" s="52">
        <f t="shared" si="8"/>
        <v>4000</v>
      </c>
      <c r="Z71" s="52" t="str">
        <f t="shared" si="9"/>
        <v>Sale</v>
      </c>
      <c r="AA71" s="52">
        <f t="shared" si="10"/>
        <v>2800</v>
      </c>
      <c r="AB71" s="52">
        <f t="array" ref="AB71">_xlfn.XLOOKUP(K71,Products!$B$2:$B$5,Products!$E$2:$E$5)</f>
        <v>560</v>
      </c>
      <c r="AC71" s="52">
        <f t="shared" si="11"/>
        <v>1200</v>
      </c>
      <c r="AD71" s="52">
        <f t="shared" si="12"/>
        <v>1200</v>
      </c>
      <c r="AE71" s="53">
        <f t="shared" si="13"/>
        <v>0.3</v>
      </c>
      <c r="AF71" s="54"/>
      <c r="AG71" s="54"/>
    </row>
    <row r="72" ht="14.25" customHeight="1">
      <c r="A72" s="26">
        <v>1070.0</v>
      </c>
      <c r="B72" s="26" t="str">
        <f t="shared" si="15"/>
        <v>Ok</v>
      </c>
      <c r="C72" s="26" t="s">
        <v>182</v>
      </c>
      <c r="D72" s="31">
        <v>45704.0</v>
      </c>
      <c r="E72" s="26" t="s">
        <v>105</v>
      </c>
      <c r="F72" s="26" t="str">
        <f t="shared" si="2"/>
        <v>C025</v>
      </c>
      <c r="G72" s="26" t="s">
        <v>149</v>
      </c>
      <c r="H72" s="26" t="s">
        <v>100</v>
      </c>
      <c r="I72" s="26" t="s">
        <v>48</v>
      </c>
      <c r="J72" s="26" t="str">
        <f t="array" ref="J72">_xlfn.XLOOKUP(I72,Lookup!$D$2:$D$11,Lookup!$E$2:$E$11,I72)</f>
        <v>Bucuresti</v>
      </c>
      <c r="K72" s="26" t="s">
        <v>44</v>
      </c>
      <c r="L72" s="26" t="s">
        <v>42</v>
      </c>
      <c r="M72" s="26" t="str">
        <f>VLOOKUP(L72,Lookup!G:H,2,FALSE)</f>
        <v>Electronics</v>
      </c>
      <c r="N72" s="26">
        <v>25.0</v>
      </c>
      <c r="O72" s="26" t="str">
        <f t="shared" si="3"/>
        <v>OK</v>
      </c>
      <c r="P72" s="26">
        <v>950.0</v>
      </c>
      <c r="Q72" s="26">
        <f t="shared" si="4"/>
        <v>950</v>
      </c>
      <c r="R72" s="26" t="str">
        <f t="shared" si="5"/>
        <v>OK</v>
      </c>
      <c r="S72" s="26">
        <v>0.0</v>
      </c>
      <c r="T72" s="26">
        <f t="shared" si="6"/>
        <v>0</v>
      </c>
      <c r="U72" s="26"/>
      <c r="V72" s="26" t="str">
        <f>IF(U72="","Unknown",IFERROR(VLOOKUP(U72,Lookup!$A$2:$B$6,2,FALSE),U72))</f>
        <v>Unknown</v>
      </c>
      <c r="W72" s="26" t="s">
        <v>78</v>
      </c>
      <c r="X72" s="26" t="str">
        <f t="shared" si="7"/>
        <v>Andrei</v>
      </c>
      <c r="Y72" s="52">
        <f t="shared" si="8"/>
        <v>23750</v>
      </c>
      <c r="Z72" s="52" t="str">
        <f t="shared" si="9"/>
        <v>Sale</v>
      </c>
      <c r="AA72" s="52">
        <f t="shared" si="10"/>
        <v>16625</v>
      </c>
      <c r="AB72" s="52">
        <f t="array" ref="AB72">_xlfn.XLOOKUP(K72,Products!$B$2:$B$5,Products!$E$2:$E$5)</f>
        <v>665</v>
      </c>
      <c r="AC72" s="52">
        <f t="shared" si="11"/>
        <v>7125</v>
      </c>
      <c r="AD72" s="52">
        <f t="shared" si="12"/>
        <v>7125</v>
      </c>
      <c r="AE72" s="53">
        <f t="shared" si="13"/>
        <v>0.3</v>
      </c>
      <c r="AF72" s="54"/>
      <c r="AG72" s="54"/>
    </row>
    <row r="73" ht="14.25" customHeight="1">
      <c r="A73" s="26">
        <v>1071.0</v>
      </c>
      <c r="B73" s="26" t="str">
        <f t="shared" si="15"/>
        <v>Ok</v>
      </c>
      <c r="C73" s="26" t="s">
        <v>183</v>
      </c>
      <c r="D73" s="31">
        <v>45691.0</v>
      </c>
      <c r="E73" s="26" t="s">
        <v>119</v>
      </c>
      <c r="F73" s="26" t="str">
        <f t="shared" si="2"/>
        <v>C016</v>
      </c>
      <c r="G73" s="26" t="s">
        <v>141</v>
      </c>
      <c r="H73" s="26" t="s">
        <v>100</v>
      </c>
      <c r="I73" s="26" t="s">
        <v>41</v>
      </c>
      <c r="J73" s="26" t="str">
        <f t="array" ref="J73">_xlfn.XLOOKUP(I73,Lookup!$D$2:$D$11,Lookup!$E$2:$E$11,I73)</f>
        <v>Bucuresti</v>
      </c>
      <c r="K73" s="26" t="s">
        <v>26</v>
      </c>
      <c r="L73" s="26" t="s">
        <v>24</v>
      </c>
      <c r="M73" s="26" t="str">
        <f>VLOOKUP(L73,Lookup!G:H,2,FALSE)</f>
        <v>Electronics</v>
      </c>
      <c r="N73" s="26">
        <v>0.0</v>
      </c>
      <c r="O73" s="26" t="str">
        <f t="shared" si="3"/>
        <v>Zero Quantity</v>
      </c>
      <c r="P73" s="26">
        <v>3500.0</v>
      </c>
      <c r="Q73" s="26">
        <f t="shared" si="4"/>
        <v>3500</v>
      </c>
      <c r="R73" s="26" t="str">
        <f t="shared" si="5"/>
        <v>OK</v>
      </c>
      <c r="S73" s="26"/>
      <c r="T73" s="26" t="str">
        <f t="shared" si="6"/>
        <v>0</v>
      </c>
      <c r="U73" s="26" t="s">
        <v>13</v>
      </c>
      <c r="V73" s="26" t="str">
        <f>IF(U73="","Unknown",IFERROR(VLOOKUP(U73,Lookup!$A$2:$B$6,2,FALSE),U73))</f>
        <v>Card</v>
      </c>
      <c r="W73" s="26" t="s">
        <v>80</v>
      </c>
      <c r="X73" s="26" t="str">
        <f t="shared" si="7"/>
        <v>Maria</v>
      </c>
      <c r="Y73" s="52">
        <f t="shared" si="8"/>
        <v>0</v>
      </c>
      <c r="Z73" s="52" t="str">
        <f t="shared" si="9"/>
        <v>Invalid - Zero Quantity</v>
      </c>
      <c r="AA73" s="52">
        <f t="shared" si="10"/>
        <v>0</v>
      </c>
      <c r="AB73" s="52">
        <f t="array" ref="AB73">_xlfn.XLOOKUP(K73,Products!$B$2:$B$5,Products!$E$2:$E$5)</f>
        <v>2450</v>
      </c>
      <c r="AC73" s="52">
        <f t="shared" si="11"/>
        <v>0</v>
      </c>
      <c r="AD73" s="52" t="str">
        <f t="shared" si="12"/>
        <v/>
      </c>
      <c r="AE73" s="53" t="str">
        <f t="shared" si="13"/>
        <v/>
      </c>
      <c r="AF73" s="54"/>
      <c r="AG73" s="54"/>
    </row>
    <row r="74" ht="14.25" customHeight="1">
      <c r="A74" s="26">
        <v>1072.0</v>
      </c>
      <c r="B74" s="26" t="str">
        <f t="shared" si="15"/>
        <v>Ok</v>
      </c>
      <c r="C74" s="26" t="s">
        <v>184</v>
      </c>
      <c r="D74" s="31">
        <v>45716.0</v>
      </c>
      <c r="E74" s="26" t="s">
        <v>109</v>
      </c>
      <c r="F74" s="26" t="str">
        <f t="shared" si="2"/>
        <v>C023</v>
      </c>
      <c r="G74" s="26" t="s">
        <v>112</v>
      </c>
      <c r="H74" s="26" t="s">
        <v>94</v>
      </c>
      <c r="I74" s="26" t="s">
        <v>19</v>
      </c>
      <c r="J74" s="26" t="str">
        <f t="array" ref="J74">_xlfn.XLOOKUP(I74,Lookup!$D$2:$D$11,Lookup!$E$2:$E$11,I74)</f>
        <v>Cluj-Napoca</v>
      </c>
      <c r="K74" s="26" t="s">
        <v>34</v>
      </c>
      <c r="L74" s="26" t="s">
        <v>33</v>
      </c>
      <c r="M74" s="26" t="str">
        <f>VLOOKUP(L74,Lookup!G:H,2,FALSE)</f>
        <v>Electronics</v>
      </c>
      <c r="N74" s="26">
        <v>-1.0</v>
      </c>
      <c r="O74" s="26" t="str">
        <f t="shared" si="3"/>
        <v>Negative Quantity</v>
      </c>
      <c r="P74" s="26">
        <v>120.0</v>
      </c>
      <c r="Q74" s="26">
        <f t="shared" si="4"/>
        <v>120</v>
      </c>
      <c r="R74" s="26" t="str">
        <f t="shared" si="5"/>
        <v>OK</v>
      </c>
      <c r="S74" s="26">
        <v>0.0</v>
      </c>
      <c r="T74" s="26">
        <f t="shared" si="6"/>
        <v>0</v>
      </c>
      <c r="U74" s="26" t="s">
        <v>37</v>
      </c>
      <c r="V74" s="26" t="str">
        <f>IF(U74="","Unknown",IFERROR(VLOOKUP(U74,Lookup!$A$2:$B$6,2,FALSE),U74))</f>
        <v>Bank Transfer</v>
      </c>
      <c r="W74" s="26" t="s">
        <v>78</v>
      </c>
      <c r="X74" s="26" t="str">
        <f t="shared" si="7"/>
        <v>Andrei</v>
      </c>
      <c r="Y74" s="52">
        <f t="shared" si="8"/>
        <v>-120</v>
      </c>
      <c r="Z74" s="52" t="str">
        <f t="shared" si="9"/>
        <v>Possible Return</v>
      </c>
      <c r="AA74" s="52">
        <f t="shared" si="10"/>
        <v>-84</v>
      </c>
      <c r="AB74" s="52">
        <f t="array" ref="AB74">_xlfn.XLOOKUP(K74,Products!$B$2:$B$5,Products!$E$2:$E$5)</f>
        <v>84</v>
      </c>
      <c r="AC74" s="52">
        <f t="shared" si="11"/>
        <v>-36</v>
      </c>
      <c r="AD74" s="52" t="str">
        <f t="shared" si="12"/>
        <v/>
      </c>
      <c r="AE74" s="53" t="str">
        <f t="shared" si="13"/>
        <v/>
      </c>
      <c r="AF74" s="54"/>
      <c r="AG74" s="54"/>
    </row>
    <row r="75" ht="14.25" customHeight="1">
      <c r="A75" s="26">
        <v>1073.0</v>
      </c>
      <c r="B75" s="26" t="str">
        <f t="shared" si="15"/>
        <v>Ok</v>
      </c>
      <c r="C75" s="26" t="s">
        <v>146</v>
      </c>
      <c r="D75" s="31">
        <v>45685.0</v>
      </c>
      <c r="E75" s="26" t="s">
        <v>130</v>
      </c>
      <c r="F75" s="26" t="str">
        <f t="shared" si="2"/>
        <v>C008</v>
      </c>
      <c r="G75" s="26" t="s">
        <v>93</v>
      </c>
      <c r="H75" s="26" t="s">
        <v>94</v>
      </c>
      <c r="I75" s="26" t="s">
        <v>58</v>
      </c>
      <c r="J75" s="26" t="str">
        <f t="array" ref="J75">_xlfn.XLOOKUP(I75,Lookup!$D$2:$D$11,Lookup!$E$2:$E$11,I75)</f>
        <v>Bucuresti</v>
      </c>
      <c r="K75" s="26" t="s">
        <v>26</v>
      </c>
      <c r="L75" s="26" t="s">
        <v>24</v>
      </c>
      <c r="M75" s="26" t="str">
        <f>VLOOKUP(L75,Lookup!G:H,2,FALSE)</f>
        <v>Electronics</v>
      </c>
      <c r="N75" s="26">
        <v>-1.0</v>
      </c>
      <c r="O75" s="26" t="str">
        <f t="shared" si="3"/>
        <v>Negative Quantity</v>
      </c>
      <c r="P75" s="26">
        <v>3500.0</v>
      </c>
      <c r="Q75" s="26">
        <f t="shared" si="4"/>
        <v>3500</v>
      </c>
      <c r="R75" s="26" t="str">
        <f t="shared" si="5"/>
        <v>OK</v>
      </c>
      <c r="S75" s="26">
        <v>0.0</v>
      </c>
      <c r="T75" s="26">
        <f t="shared" si="6"/>
        <v>0</v>
      </c>
      <c r="U75" s="26" t="s">
        <v>37</v>
      </c>
      <c r="V75" s="26" t="str">
        <f>IF(U75="","Unknown",IFERROR(VLOOKUP(U75,Lookup!$A$2:$B$6,2,FALSE),U75))</f>
        <v>Bank Transfer</v>
      </c>
      <c r="W75" s="26" t="s">
        <v>78</v>
      </c>
      <c r="X75" s="26" t="str">
        <f t="shared" si="7"/>
        <v>Andrei</v>
      </c>
      <c r="Y75" s="52">
        <f t="shared" si="8"/>
        <v>-3500</v>
      </c>
      <c r="Z75" s="52" t="str">
        <f t="shared" si="9"/>
        <v>Possible Return</v>
      </c>
      <c r="AA75" s="52">
        <f t="shared" si="10"/>
        <v>-2450</v>
      </c>
      <c r="AB75" s="52">
        <f t="array" ref="AB75">_xlfn.XLOOKUP(K75,Products!$B$2:$B$5,Products!$E$2:$E$5)</f>
        <v>2450</v>
      </c>
      <c r="AC75" s="52">
        <f t="shared" si="11"/>
        <v>-1050</v>
      </c>
      <c r="AD75" s="52" t="str">
        <f t="shared" si="12"/>
        <v/>
      </c>
      <c r="AE75" s="53" t="str">
        <f t="shared" si="13"/>
        <v/>
      </c>
      <c r="AF75" s="54"/>
      <c r="AG75" s="54"/>
    </row>
    <row r="76" ht="14.25" customHeight="1">
      <c r="A76" s="26">
        <v>1074.0</v>
      </c>
      <c r="B76" s="26" t="str">
        <f t="shared" si="15"/>
        <v>Ok</v>
      </c>
      <c r="C76" s="26" t="s">
        <v>185</v>
      </c>
      <c r="D76" s="31">
        <v>45676.0</v>
      </c>
      <c r="E76" s="26"/>
      <c r="F76" s="26" t="str">
        <f t="shared" si="2"/>
        <v>Unknown</v>
      </c>
      <c r="G76" s="26" t="s">
        <v>68</v>
      </c>
      <c r="H76" s="26" t="s">
        <v>68</v>
      </c>
      <c r="I76" s="26" t="s">
        <v>41</v>
      </c>
      <c r="J76" s="26" t="str">
        <f t="array" ref="J76">_xlfn.XLOOKUP(I76,Lookup!$D$2:$D$11,Lookup!$E$2:$E$11,I76)</f>
        <v>Bucuresti</v>
      </c>
      <c r="K76" s="26" t="s">
        <v>51</v>
      </c>
      <c r="L76" s="26" t="s">
        <v>49</v>
      </c>
      <c r="M76" s="26" t="str">
        <f>VLOOKUP(L76,Lookup!G:H,2,FALSE)</f>
        <v>Furniture</v>
      </c>
      <c r="N76" s="26">
        <v>-1.0</v>
      </c>
      <c r="O76" s="26" t="str">
        <f t="shared" si="3"/>
        <v>Negative Quantity</v>
      </c>
      <c r="P76" s="26">
        <v>800.0</v>
      </c>
      <c r="Q76" s="26">
        <f t="shared" si="4"/>
        <v>800</v>
      </c>
      <c r="R76" s="26" t="str">
        <f t="shared" si="5"/>
        <v>OK</v>
      </c>
      <c r="S76" s="26">
        <v>10.0</v>
      </c>
      <c r="T76" s="26">
        <f t="shared" si="6"/>
        <v>10</v>
      </c>
      <c r="U76" s="26" t="s">
        <v>16</v>
      </c>
      <c r="V76" s="26" t="str">
        <f>IF(U76="","Unknown",IFERROR(VLOOKUP(U76,Lookup!$A$2:$B$6,2,FALSE),U76))</f>
        <v>Card</v>
      </c>
      <c r="W76" s="26" t="s">
        <v>78</v>
      </c>
      <c r="X76" s="26" t="str">
        <f t="shared" si="7"/>
        <v>Andrei</v>
      </c>
      <c r="Y76" s="52">
        <f t="shared" si="8"/>
        <v>-810</v>
      </c>
      <c r="Z76" s="52" t="str">
        <f t="shared" si="9"/>
        <v>Possible Return</v>
      </c>
      <c r="AA76" s="52">
        <f t="shared" si="10"/>
        <v>-560</v>
      </c>
      <c r="AB76" s="52">
        <f t="array" ref="AB76">_xlfn.XLOOKUP(K76,Products!$B$2:$B$5,Products!$E$2:$E$5)</f>
        <v>560</v>
      </c>
      <c r="AC76" s="52">
        <f t="shared" si="11"/>
        <v>-250</v>
      </c>
      <c r="AD76" s="52" t="str">
        <f t="shared" si="12"/>
        <v/>
      </c>
      <c r="AE76" s="53" t="str">
        <f t="shared" si="13"/>
        <v/>
      </c>
      <c r="AF76" s="54"/>
      <c r="AG76" s="54"/>
    </row>
    <row r="77" ht="14.25" customHeight="1">
      <c r="A77" s="26">
        <v>1075.0</v>
      </c>
      <c r="B77" s="26" t="str">
        <f t="shared" si="15"/>
        <v>Ok</v>
      </c>
      <c r="C77" s="26" t="s">
        <v>186</v>
      </c>
      <c r="D77" s="31">
        <v>45713.0</v>
      </c>
      <c r="E77" s="26" t="s">
        <v>117</v>
      </c>
      <c r="F77" s="26" t="str">
        <f t="shared" si="2"/>
        <v>C021</v>
      </c>
      <c r="G77" s="26" t="s">
        <v>86</v>
      </c>
      <c r="H77" s="26" t="s">
        <v>97</v>
      </c>
      <c r="I77" s="26" t="s">
        <v>39</v>
      </c>
      <c r="J77" s="26" t="str">
        <f t="array" ref="J77">_xlfn.XLOOKUP(I77,Lookup!$D$2:$D$11,Lookup!$E$2:$E$11,I77)</f>
        <v>Bucuresti</v>
      </c>
      <c r="K77" s="26" t="s">
        <v>34</v>
      </c>
      <c r="L77" s="26" t="s">
        <v>33</v>
      </c>
      <c r="M77" s="26" t="str">
        <f>VLOOKUP(L77,Lookup!G:H,2,FALSE)</f>
        <v>Electronics</v>
      </c>
      <c r="N77" s="26">
        <v>-1.0</v>
      </c>
      <c r="O77" s="26" t="str">
        <f t="shared" si="3"/>
        <v>Negative Quantity</v>
      </c>
      <c r="P77" s="26">
        <v>120.0</v>
      </c>
      <c r="Q77" s="26">
        <f t="shared" si="4"/>
        <v>120</v>
      </c>
      <c r="R77" s="26" t="str">
        <f t="shared" si="5"/>
        <v>OK</v>
      </c>
      <c r="S77" s="26"/>
      <c r="T77" s="26" t="str">
        <f t="shared" si="6"/>
        <v>0</v>
      </c>
      <c r="U77" s="26" t="s">
        <v>53</v>
      </c>
      <c r="V77" s="26" t="str">
        <f>IF(U77="","Unknown",IFERROR(VLOOKUP(U77,Lookup!$A$2:$B$6,2,FALSE),U77))</f>
        <v>Cash</v>
      </c>
      <c r="W77" s="26" t="s">
        <v>80</v>
      </c>
      <c r="X77" s="26" t="str">
        <f t="shared" si="7"/>
        <v>Maria</v>
      </c>
      <c r="Y77" s="52">
        <f t="shared" si="8"/>
        <v>-120</v>
      </c>
      <c r="Z77" s="52" t="str">
        <f t="shared" si="9"/>
        <v>Possible Return</v>
      </c>
      <c r="AA77" s="52">
        <f t="shared" si="10"/>
        <v>-84</v>
      </c>
      <c r="AB77" s="52">
        <f t="array" ref="AB77">_xlfn.XLOOKUP(K77,Products!$B$2:$B$5,Products!$E$2:$E$5)</f>
        <v>84</v>
      </c>
      <c r="AC77" s="52">
        <f t="shared" si="11"/>
        <v>-36</v>
      </c>
      <c r="AD77" s="52" t="str">
        <f t="shared" si="12"/>
        <v/>
      </c>
      <c r="AE77" s="53" t="str">
        <f t="shared" si="13"/>
        <v/>
      </c>
      <c r="AF77" s="54"/>
      <c r="AG77" s="54"/>
    </row>
    <row r="78" ht="14.25" customHeight="1">
      <c r="A78" s="26">
        <v>1076.0</v>
      </c>
      <c r="B78" s="26" t="str">
        <f t="shared" si="15"/>
        <v>Ok</v>
      </c>
      <c r="C78" s="26" t="s">
        <v>187</v>
      </c>
      <c r="D78" s="31">
        <v>45686.0</v>
      </c>
      <c r="E78" s="26"/>
      <c r="F78" s="26" t="str">
        <f t="shared" si="2"/>
        <v>Unknown</v>
      </c>
      <c r="G78" s="26" t="s">
        <v>99</v>
      </c>
      <c r="H78" s="26" t="s">
        <v>95</v>
      </c>
      <c r="I78" s="26" t="s">
        <v>60</v>
      </c>
      <c r="J78" s="26" t="str">
        <f t="array" ref="J78">_xlfn.XLOOKUP(I78,Lookup!$D$2:$D$11,Lookup!$E$2:$E$11,I78)</f>
        <v>Iasi</v>
      </c>
      <c r="K78" s="26" t="s">
        <v>34</v>
      </c>
      <c r="L78" s="26" t="s">
        <v>33</v>
      </c>
      <c r="M78" s="26" t="str">
        <f>VLOOKUP(L78,Lookup!G:H,2,FALSE)</f>
        <v>Electronics</v>
      </c>
      <c r="N78" s="26">
        <v>0.0</v>
      </c>
      <c r="O78" s="26" t="str">
        <f t="shared" si="3"/>
        <v>Zero Quantity</v>
      </c>
      <c r="P78" s="26">
        <v>120.0</v>
      </c>
      <c r="Q78" s="26">
        <f t="shared" si="4"/>
        <v>120</v>
      </c>
      <c r="R78" s="26" t="str">
        <f t="shared" si="5"/>
        <v>OK</v>
      </c>
      <c r="S78" s="26">
        <v>120.0</v>
      </c>
      <c r="T78" s="26">
        <f t="shared" si="6"/>
        <v>120</v>
      </c>
      <c r="U78" s="26" t="s">
        <v>16</v>
      </c>
      <c r="V78" s="26" t="str">
        <f>IF(U78="","Unknown",IFERROR(VLOOKUP(U78,Lookup!$A$2:$B$6,2,FALSE),U78))</f>
        <v>Card</v>
      </c>
      <c r="W78" s="26" t="s">
        <v>80</v>
      </c>
      <c r="X78" s="26" t="str">
        <f t="shared" si="7"/>
        <v>Maria</v>
      </c>
      <c r="Y78" s="52">
        <f t="shared" si="8"/>
        <v>-120</v>
      </c>
      <c r="Z78" s="52" t="str">
        <f t="shared" si="9"/>
        <v>Invalid - Zero Quantity</v>
      </c>
      <c r="AA78" s="52">
        <f t="shared" si="10"/>
        <v>0</v>
      </c>
      <c r="AB78" s="52">
        <f t="array" ref="AB78">_xlfn.XLOOKUP(K78,Products!$B$2:$B$5,Products!$E$2:$E$5)</f>
        <v>84</v>
      </c>
      <c r="AC78" s="52">
        <f t="shared" si="11"/>
        <v>-120</v>
      </c>
      <c r="AD78" s="52" t="str">
        <f t="shared" si="12"/>
        <v/>
      </c>
      <c r="AE78" s="53" t="str">
        <f t="shared" si="13"/>
        <v/>
      </c>
      <c r="AF78" s="54"/>
      <c r="AG78" s="54"/>
    </row>
    <row r="79" ht="14.25" customHeight="1">
      <c r="A79" s="26">
        <v>1077.0</v>
      </c>
      <c r="B79" s="26" t="str">
        <f t="shared" si="15"/>
        <v>Ok</v>
      </c>
      <c r="C79" s="26" t="s">
        <v>185</v>
      </c>
      <c r="D79" s="31">
        <v>45676.0</v>
      </c>
      <c r="E79" s="26" t="s">
        <v>134</v>
      </c>
      <c r="F79" s="26" t="str">
        <f t="shared" si="2"/>
        <v>C003</v>
      </c>
      <c r="G79" s="26" t="s">
        <v>141</v>
      </c>
      <c r="H79" s="26" t="s">
        <v>100</v>
      </c>
      <c r="I79" s="26" t="s">
        <v>60</v>
      </c>
      <c r="J79" s="26" t="str">
        <f t="array" ref="J79">_xlfn.XLOOKUP(I79,Lookup!$D$2:$D$11,Lookup!$E$2:$E$11,I79)</f>
        <v>Iasi</v>
      </c>
      <c r="K79" s="26" t="s">
        <v>51</v>
      </c>
      <c r="L79" s="26" t="s">
        <v>49</v>
      </c>
      <c r="M79" s="26" t="str">
        <f>VLOOKUP(L79,Lookup!G:H,2,FALSE)</f>
        <v>Furniture</v>
      </c>
      <c r="N79" s="26">
        <v>0.0</v>
      </c>
      <c r="O79" s="26" t="str">
        <f t="shared" si="3"/>
        <v>Zero Quantity</v>
      </c>
      <c r="P79" s="26">
        <v>800.0</v>
      </c>
      <c r="Q79" s="26">
        <f t="shared" si="4"/>
        <v>800</v>
      </c>
      <c r="R79" s="26" t="str">
        <f t="shared" si="5"/>
        <v>OK</v>
      </c>
      <c r="S79" s="26">
        <v>15.0</v>
      </c>
      <c r="T79" s="26">
        <f t="shared" si="6"/>
        <v>15</v>
      </c>
      <c r="U79" s="26" t="s">
        <v>13</v>
      </c>
      <c r="V79" s="26" t="str">
        <f>IF(U79="","Unknown",IFERROR(VLOOKUP(U79,Lookup!$A$2:$B$6,2,FALSE),U79))</f>
        <v>Card</v>
      </c>
      <c r="W79" s="26" t="s">
        <v>79</v>
      </c>
      <c r="X79" s="26" t="str">
        <f t="shared" si="7"/>
        <v>George</v>
      </c>
      <c r="Y79" s="52">
        <f t="shared" si="8"/>
        <v>-15</v>
      </c>
      <c r="Z79" s="52" t="str">
        <f t="shared" si="9"/>
        <v>Invalid - Zero Quantity</v>
      </c>
      <c r="AA79" s="52">
        <f t="shared" si="10"/>
        <v>0</v>
      </c>
      <c r="AB79" s="52">
        <f t="array" ref="AB79">_xlfn.XLOOKUP(K79,Products!$B$2:$B$5,Products!$E$2:$E$5)</f>
        <v>560</v>
      </c>
      <c r="AC79" s="52">
        <f t="shared" si="11"/>
        <v>-15</v>
      </c>
      <c r="AD79" s="52" t="str">
        <f t="shared" si="12"/>
        <v/>
      </c>
      <c r="AE79" s="53" t="str">
        <f t="shared" si="13"/>
        <v/>
      </c>
      <c r="AF79" s="54"/>
      <c r="AG79" s="54"/>
    </row>
    <row r="80" ht="14.25" customHeight="1">
      <c r="A80" s="26">
        <v>1078.0</v>
      </c>
      <c r="B80" s="26" t="str">
        <f t="shared" si="15"/>
        <v>Ok</v>
      </c>
      <c r="C80" s="26" t="s">
        <v>188</v>
      </c>
      <c r="D80" s="31">
        <v>45688.0</v>
      </c>
      <c r="E80" s="26" t="s">
        <v>126</v>
      </c>
      <c r="F80" s="26" t="str">
        <f t="shared" si="2"/>
        <v>C015</v>
      </c>
      <c r="G80" s="26" t="s">
        <v>93</v>
      </c>
      <c r="H80" s="26" t="s">
        <v>94</v>
      </c>
      <c r="I80" s="26" t="s">
        <v>31</v>
      </c>
      <c r="J80" s="26" t="str">
        <f t="array" ref="J80">_xlfn.XLOOKUP(I80,Lookup!$D$2:$D$11,Lookup!$E$2:$E$11,I80)</f>
        <v>Iasi</v>
      </c>
      <c r="K80" s="26" t="s">
        <v>26</v>
      </c>
      <c r="L80" s="26" t="s">
        <v>24</v>
      </c>
      <c r="M80" s="26" t="str">
        <f>VLOOKUP(L80,Lookup!G:H,2,FALSE)</f>
        <v>Electronics</v>
      </c>
      <c r="N80" s="26">
        <v>-1.0</v>
      </c>
      <c r="O80" s="26" t="str">
        <f t="shared" si="3"/>
        <v>Negative Quantity</v>
      </c>
      <c r="P80" s="26">
        <v>3500.0</v>
      </c>
      <c r="Q80" s="26">
        <f t="shared" si="4"/>
        <v>3500</v>
      </c>
      <c r="R80" s="26" t="str">
        <f t="shared" si="5"/>
        <v>OK</v>
      </c>
      <c r="S80" s="26">
        <v>0.0</v>
      </c>
      <c r="T80" s="26">
        <f t="shared" si="6"/>
        <v>0</v>
      </c>
      <c r="U80" s="26" t="s">
        <v>37</v>
      </c>
      <c r="V80" s="26" t="str">
        <f>IF(U80="","Unknown",IFERROR(VLOOKUP(U80,Lookup!$A$2:$B$6,2,FALSE),U80))</f>
        <v>Bank Transfer</v>
      </c>
      <c r="W80" s="26" t="s">
        <v>80</v>
      </c>
      <c r="X80" s="26" t="str">
        <f t="shared" si="7"/>
        <v>Maria</v>
      </c>
      <c r="Y80" s="52">
        <f t="shared" si="8"/>
        <v>-3500</v>
      </c>
      <c r="Z80" s="52" t="str">
        <f t="shared" si="9"/>
        <v>Possible Return</v>
      </c>
      <c r="AA80" s="52">
        <f t="shared" si="10"/>
        <v>-2450</v>
      </c>
      <c r="AB80" s="52">
        <f t="array" ref="AB80">_xlfn.XLOOKUP(K80,Products!$B$2:$B$5,Products!$E$2:$E$5)</f>
        <v>2450</v>
      </c>
      <c r="AC80" s="52">
        <f t="shared" si="11"/>
        <v>-1050</v>
      </c>
      <c r="AD80" s="52" t="str">
        <f t="shared" si="12"/>
        <v/>
      </c>
      <c r="AE80" s="53" t="str">
        <f t="shared" si="13"/>
        <v/>
      </c>
      <c r="AF80" s="54"/>
      <c r="AG80" s="54"/>
    </row>
    <row r="81" ht="14.25" customHeight="1">
      <c r="A81" s="26">
        <v>1079.0</v>
      </c>
      <c r="B81" s="26" t="str">
        <f t="shared" si="15"/>
        <v>Ok</v>
      </c>
      <c r="C81" s="26" t="s">
        <v>187</v>
      </c>
      <c r="D81" s="31">
        <v>45686.0</v>
      </c>
      <c r="E81" s="26" t="s">
        <v>173</v>
      </c>
      <c r="F81" s="26" t="str">
        <f t="shared" si="2"/>
        <v>C006</v>
      </c>
      <c r="G81" s="26" t="s">
        <v>141</v>
      </c>
      <c r="H81" s="26" t="s">
        <v>100</v>
      </c>
      <c r="I81" s="26" t="s">
        <v>41</v>
      </c>
      <c r="J81" s="26" t="str">
        <f t="array" ref="J81">_xlfn.XLOOKUP(I81,Lookup!$D$2:$D$11,Lookup!$E$2:$E$11,I81)</f>
        <v>Bucuresti</v>
      </c>
      <c r="K81" s="26" t="s">
        <v>44</v>
      </c>
      <c r="L81" s="26" t="s">
        <v>42</v>
      </c>
      <c r="M81" s="26" t="str">
        <f>VLOOKUP(L81,Lookup!G:H,2,FALSE)</f>
        <v>Electronics</v>
      </c>
      <c r="N81" s="26">
        <v>2.0</v>
      </c>
      <c r="O81" s="26" t="str">
        <f t="shared" si="3"/>
        <v>OK</v>
      </c>
      <c r="P81" s="26">
        <v>950.0</v>
      </c>
      <c r="Q81" s="26">
        <f t="shared" si="4"/>
        <v>950</v>
      </c>
      <c r="R81" s="26" t="str">
        <f t="shared" si="5"/>
        <v>OK</v>
      </c>
      <c r="S81" s="26">
        <v>5.0</v>
      </c>
      <c r="T81" s="26">
        <f t="shared" si="6"/>
        <v>5</v>
      </c>
      <c r="U81" s="26" t="s">
        <v>37</v>
      </c>
      <c r="V81" s="26" t="str">
        <f>IF(U81="","Unknown",IFERROR(VLOOKUP(U81,Lookup!$A$2:$B$6,2,FALSE),U81))</f>
        <v>Bank Transfer</v>
      </c>
      <c r="W81" s="26" t="s">
        <v>78</v>
      </c>
      <c r="X81" s="26" t="str">
        <f t="shared" si="7"/>
        <v>Andrei</v>
      </c>
      <c r="Y81" s="52">
        <f t="shared" si="8"/>
        <v>1895</v>
      </c>
      <c r="Z81" s="52" t="str">
        <f t="shared" si="9"/>
        <v>Sale</v>
      </c>
      <c r="AA81" s="52">
        <f t="shared" si="10"/>
        <v>1330</v>
      </c>
      <c r="AB81" s="52">
        <f t="array" ref="AB81">_xlfn.XLOOKUP(K81,Products!$B$2:$B$5,Products!$E$2:$E$5)</f>
        <v>665</v>
      </c>
      <c r="AC81" s="52">
        <f t="shared" si="11"/>
        <v>565</v>
      </c>
      <c r="AD81" s="52">
        <f t="shared" si="12"/>
        <v>565</v>
      </c>
      <c r="AE81" s="53">
        <f t="shared" si="13"/>
        <v>0.2981530343</v>
      </c>
      <c r="AF81" s="54"/>
      <c r="AG81" s="54"/>
    </row>
    <row r="82" ht="14.25" customHeight="1">
      <c r="B82" s="14"/>
      <c r="AE82" s="57"/>
    </row>
    <row r="83" ht="14.25" customHeight="1">
      <c r="B83" s="14"/>
      <c r="AE83" s="57"/>
    </row>
    <row r="84" ht="14.25" customHeight="1">
      <c r="B84" s="14"/>
      <c r="AE84" s="57"/>
    </row>
    <row r="85" ht="14.25" customHeight="1">
      <c r="B85" s="14"/>
      <c r="AE85" s="57"/>
    </row>
    <row r="86" ht="14.25" customHeight="1">
      <c r="B86" s="14"/>
      <c r="C86" s="21" t="s">
        <v>189</v>
      </c>
      <c r="I86" s="21" t="s">
        <v>190</v>
      </c>
      <c r="AE86" s="57"/>
    </row>
    <row r="87" ht="14.25" customHeight="1">
      <c r="B87" s="14"/>
      <c r="C87" s="21" t="s">
        <v>191</v>
      </c>
      <c r="I87" s="21" t="s">
        <v>190</v>
      </c>
      <c r="AE87" s="57"/>
    </row>
    <row r="88" ht="14.25" customHeight="1">
      <c r="B88" s="14"/>
      <c r="C88" s="21" t="s">
        <v>192</v>
      </c>
      <c r="I88" s="21" t="s">
        <v>190</v>
      </c>
      <c r="AE88" s="57"/>
    </row>
    <row r="89" ht="14.25" customHeight="1">
      <c r="B89" s="14"/>
      <c r="C89" s="21" t="s">
        <v>193</v>
      </c>
      <c r="I89" s="21" t="s">
        <v>194</v>
      </c>
      <c r="AE89" s="57"/>
    </row>
    <row r="90" ht="14.25" customHeight="1">
      <c r="B90" s="14"/>
      <c r="C90" s="21" t="s">
        <v>195</v>
      </c>
      <c r="I90" s="21" t="s">
        <v>194</v>
      </c>
      <c r="AE90" s="57"/>
    </row>
    <row r="91" ht="14.25" customHeight="1">
      <c r="B91" s="14"/>
      <c r="C91" s="21" t="s">
        <v>196</v>
      </c>
      <c r="I91" s="21" t="s">
        <v>190</v>
      </c>
      <c r="AE91" s="57"/>
    </row>
    <row r="92" ht="14.25" customHeight="1">
      <c r="B92" s="14"/>
      <c r="AE92" s="57"/>
    </row>
    <row r="93" ht="14.25" customHeight="1">
      <c r="B93" s="14"/>
      <c r="AE93" s="57"/>
    </row>
    <row r="94" ht="14.25" customHeight="1">
      <c r="B94" s="14"/>
      <c r="AE94" s="57"/>
    </row>
    <row r="95" ht="14.25" customHeight="1">
      <c r="B95" s="14"/>
      <c r="C95" s="21" t="s">
        <v>266</v>
      </c>
      <c r="AE95" s="57"/>
    </row>
    <row r="96" ht="14.25" customHeight="1">
      <c r="B96" s="14"/>
      <c r="C96" s="21" t="s">
        <v>267</v>
      </c>
      <c r="AE96" s="57"/>
    </row>
    <row r="97" ht="14.25" customHeight="1">
      <c r="B97" s="14"/>
      <c r="C97" s="21" t="s">
        <v>268</v>
      </c>
      <c r="AE97" s="57"/>
    </row>
    <row r="98" ht="14.25" customHeight="1">
      <c r="B98" s="14"/>
      <c r="C98" s="21" t="s">
        <v>200</v>
      </c>
      <c r="AE98" s="57"/>
    </row>
    <row r="99" ht="14.25" customHeight="1">
      <c r="B99" s="14"/>
      <c r="C99" s="21" t="s">
        <v>201</v>
      </c>
      <c r="AE99" s="57"/>
    </row>
    <row r="100" ht="14.25" customHeight="1">
      <c r="B100" s="14"/>
      <c r="AE100" s="57"/>
    </row>
    <row r="101" ht="14.25" customHeight="1">
      <c r="B101" s="14"/>
      <c r="AE101" s="57"/>
    </row>
    <row r="102" ht="14.25" customHeight="1">
      <c r="B102" s="14"/>
      <c r="C102" s="21" t="s">
        <v>269</v>
      </c>
      <c r="AE102" s="57"/>
    </row>
    <row r="103" ht="14.25" customHeight="1">
      <c r="B103" s="14"/>
      <c r="C103" s="21" t="s">
        <v>270</v>
      </c>
      <c r="AE103" s="57"/>
    </row>
    <row r="104" ht="14.25" customHeight="1">
      <c r="B104" s="14"/>
      <c r="C104" s="21" t="s">
        <v>271</v>
      </c>
      <c r="AE104" s="57"/>
    </row>
    <row r="105" ht="14.25" customHeight="1">
      <c r="B105" s="14"/>
      <c r="C105" s="21" t="s">
        <v>272</v>
      </c>
      <c r="AE105" s="57"/>
    </row>
    <row r="106" ht="14.25" customHeight="1">
      <c r="B106" s="14"/>
      <c r="C106" s="21" t="s">
        <v>273</v>
      </c>
      <c r="AE106" s="57"/>
    </row>
    <row r="107" ht="14.25" customHeight="1">
      <c r="B107" s="14"/>
      <c r="C107" s="21" t="s">
        <v>274</v>
      </c>
      <c r="AE107" s="57"/>
    </row>
    <row r="108" ht="14.25" customHeight="1">
      <c r="B108" s="14"/>
      <c r="AE108" s="57"/>
    </row>
    <row r="109" ht="14.25" customHeight="1">
      <c r="B109" s="14"/>
      <c r="AE109" s="57"/>
    </row>
    <row r="110" ht="14.25" customHeight="1">
      <c r="B110" s="14"/>
      <c r="AE110" s="57"/>
    </row>
    <row r="111" ht="14.25" customHeight="1">
      <c r="B111" s="14"/>
      <c r="AE111" s="57"/>
    </row>
    <row r="112" ht="14.25" customHeight="1">
      <c r="B112" s="14"/>
      <c r="C112" s="21" t="s">
        <v>208</v>
      </c>
      <c r="AE112" s="57"/>
    </row>
    <row r="113" ht="14.25" customHeight="1">
      <c r="B113" s="14"/>
      <c r="AE113" s="57"/>
    </row>
    <row r="114" ht="14.25" customHeight="1">
      <c r="B114" s="14"/>
      <c r="C114" s="55" t="s">
        <v>209</v>
      </c>
      <c r="AE114" s="57"/>
    </row>
    <row r="115" ht="14.25" customHeight="1">
      <c r="B115" s="14"/>
      <c r="AE115" s="57"/>
    </row>
    <row r="116" ht="14.25" customHeight="1">
      <c r="B116" s="14"/>
      <c r="C116" s="21" t="s">
        <v>275</v>
      </c>
      <c r="AE116" s="57"/>
    </row>
    <row r="117" ht="14.25" customHeight="1">
      <c r="B117" s="14"/>
      <c r="C117" s="21" t="s">
        <v>276</v>
      </c>
      <c r="AE117" s="57"/>
    </row>
    <row r="118" ht="14.25" customHeight="1">
      <c r="B118" s="14"/>
      <c r="C118" s="21" t="s">
        <v>277</v>
      </c>
      <c r="AE118" s="57"/>
    </row>
    <row r="119" ht="14.25" customHeight="1">
      <c r="B119" s="14"/>
      <c r="C119" s="21" t="s">
        <v>278</v>
      </c>
      <c r="AE119" s="57"/>
    </row>
    <row r="120" ht="14.25" customHeight="1">
      <c r="B120" s="14"/>
      <c r="AE120" s="57"/>
    </row>
    <row r="121" ht="14.25" customHeight="1">
      <c r="B121" s="14"/>
      <c r="C121" s="55" t="s">
        <v>214</v>
      </c>
      <c r="AE121" s="57"/>
    </row>
    <row r="122" ht="14.25" customHeight="1">
      <c r="B122" s="14"/>
      <c r="AE122" s="57"/>
    </row>
    <row r="123" ht="14.25" customHeight="1">
      <c r="B123" s="14"/>
      <c r="C123" s="21" t="s">
        <v>279</v>
      </c>
      <c r="AE123" s="57"/>
    </row>
    <row r="124" ht="14.25" customHeight="1">
      <c r="B124" s="14"/>
      <c r="AE124" s="57"/>
    </row>
    <row r="125" ht="14.25" customHeight="1">
      <c r="B125" s="14"/>
      <c r="C125" s="55" t="s">
        <v>216</v>
      </c>
      <c r="AE125" s="57"/>
    </row>
    <row r="126" ht="14.25" customHeight="1">
      <c r="B126" s="14"/>
      <c r="AE126" s="57"/>
    </row>
    <row r="127" ht="14.25" customHeight="1">
      <c r="B127" s="14"/>
      <c r="C127" s="21" t="s">
        <v>280</v>
      </c>
      <c r="AE127" s="57"/>
    </row>
    <row r="128" ht="14.25" customHeight="1">
      <c r="B128" s="14"/>
      <c r="C128" s="56"/>
      <c r="AE128" s="57"/>
    </row>
    <row r="129" ht="14.25" customHeight="1">
      <c r="B129" s="14"/>
      <c r="C129" s="56" t="s">
        <v>218</v>
      </c>
      <c r="AE129" s="57"/>
    </row>
    <row r="130" ht="14.25" customHeight="1">
      <c r="B130" s="14"/>
      <c r="C130" s="56" t="s">
        <v>219</v>
      </c>
      <c r="AE130" s="57"/>
    </row>
    <row r="131" ht="14.25" customHeight="1">
      <c r="B131" s="14"/>
      <c r="C131" s="56" t="s">
        <v>220</v>
      </c>
      <c r="AE131" s="57"/>
    </row>
    <row r="132" ht="14.25" customHeight="1">
      <c r="B132" s="14"/>
      <c r="AE132" s="57"/>
    </row>
    <row r="133" ht="14.25" customHeight="1">
      <c r="B133" s="14"/>
      <c r="C133" s="21" t="s">
        <v>281</v>
      </c>
      <c r="AE133" s="57"/>
    </row>
    <row r="134" ht="14.25" customHeight="1">
      <c r="B134" s="14"/>
      <c r="C134" s="56"/>
      <c r="AE134" s="57"/>
    </row>
    <row r="135" ht="14.25" customHeight="1">
      <c r="B135" s="14"/>
      <c r="C135" s="56" t="s">
        <v>218</v>
      </c>
      <c r="AE135" s="57"/>
    </row>
    <row r="136" ht="14.25" customHeight="1">
      <c r="B136" s="14"/>
      <c r="C136" s="56" t="s">
        <v>222</v>
      </c>
      <c r="AE136" s="57"/>
    </row>
    <row r="137" ht="14.25" customHeight="1">
      <c r="B137" s="14"/>
      <c r="AE137" s="57"/>
    </row>
    <row r="138" ht="14.25" customHeight="1">
      <c r="B138" s="14"/>
      <c r="C138" s="55" t="s">
        <v>223</v>
      </c>
      <c r="AE138" s="57"/>
    </row>
    <row r="139" ht="14.25" customHeight="1">
      <c r="B139" s="14"/>
      <c r="AE139" s="57"/>
    </row>
    <row r="140" ht="14.25" customHeight="1">
      <c r="B140" s="14"/>
      <c r="C140" s="21" t="s">
        <v>282</v>
      </c>
      <c r="AE140" s="57"/>
    </row>
    <row r="141" ht="14.25" customHeight="1">
      <c r="B141" s="14"/>
      <c r="AE141" s="57"/>
    </row>
    <row r="142" ht="14.25" customHeight="1">
      <c r="B142" s="14"/>
      <c r="AE142" s="57"/>
    </row>
    <row r="143" ht="14.25" customHeight="1">
      <c r="B143" s="14"/>
      <c r="C143" s="21" t="s">
        <v>225</v>
      </c>
      <c r="AE143" s="57"/>
    </row>
    <row r="144" ht="14.25" customHeight="1">
      <c r="B144" s="14"/>
      <c r="AE144" s="57"/>
    </row>
    <row r="145" ht="14.25" customHeight="1">
      <c r="B145" s="14"/>
      <c r="AE145" s="57"/>
    </row>
    <row r="146" ht="14.25" customHeight="1">
      <c r="B146" s="14"/>
      <c r="AE146" s="57"/>
    </row>
    <row r="147" ht="14.25" customHeight="1">
      <c r="B147" s="14"/>
      <c r="AE147" s="57"/>
    </row>
    <row r="148" ht="14.25" customHeight="1">
      <c r="B148" s="14"/>
      <c r="AE148" s="57"/>
    </row>
    <row r="149" ht="14.25" customHeight="1">
      <c r="B149" s="14"/>
      <c r="AE149" s="57"/>
    </row>
    <row r="150" ht="14.25" customHeight="1">
      <c r="B150" s="14"/>
      <c r="AE150" s="57"/>
    </row>
    <row r="151" ht="14.25" customHeight="1">
      <c r="B151" s="14"/>
      <c r="AE151" s="57"/>
    </row>
    <row r="152" ht="14.25" customHeight="1">
      <c r="B152" s="14"/>
      <c r="AE152" s="57"/>
    </row>
    <row r="153" ht="14.25" customHeight="1">
      <c r="B153" s="14"/>
      <c r="AE153" s="57"/>
    </row>
    <row r="154" ht="14.25" customHeight="1">
      <c r="B154" s="14"/>
      <c r="AE154" s="57"/>
    </row>
    <row r="155" ht="14.25" customHeight="1">
      <c r="B155" s="14"/>
      <c r="AE155" s="57"/>
    </row>
    <row r="156" ht="14.25" customHeight="1">
      <c r="B156" s="14"/>
      <c r="AE156" s="57"/>
    </row>
    <row r="157" ht="14.25" customHeight="1">
      <c r="B157" s="14"/>
      <c r="AE157" s="57"/>
    </row>
    <row r="158" ht="14.25" customHeight="1">
      <c r="B158" s="14"/>
      <c r="AE158" s="57"/>
    </row>
    <row r="159" ht="14.25" customHeight="1">
      <c r="B159" s="14"/>
      <c r="AE159" s="57"/>
    </row>
    <row r="160" ht="14.25" customHeight="1">
      <c r="B160" s="14"/>
      <c r="AE160" s="57"/>
    </row>
    <row r="161" ht="14.25" customHeight="1">
      <c r="B161" s="14"/>
      <c r="AE161" s="57"/>
    </row>
    <row r="162" ht="14.25" customHeight="1">
      <c r="B162" s="14"/>
      <c r="AE162" s="57"/>
    </row>
    <row r="163" ht="14.25" customHeight="1">
      <c r="B163" s="14"/>
      <c r="AE163" s="57"/>
    </row>
    <row r="164" ht="14.25" customHeight="1">
      <c r="B164" s="14"/>
      <c r="AE164" s="57"/>
    </row>
    <row r="165" ht="14.25" customHeight="1">
      <c r="B165" s="14"/>
      <c r="AE165" s="57"/>
    </row>
    <row r="166" ht="14.25" customHeight="1">
      <c r="B166" s="14"/>
      <c r="AE166" s="57"/>
    </row>
    <row r="167" ht="14.25" customHeight="1">
      <c r="B167" s="14"/>
      <c r="AE167" s="57"/>
    </row>
    <row r="168" ht="14.25" customHeight="1">
      <c r="B168" s="14"/>
      <c r="AE168" s="57"/>
    </row>
    <row r="169" ht="14.25" customHeight="1">
      <c r="B169" s="14"/>
      <c r="AE169" s="57"/>
    </row>
    <row r="170" ht="14.25" customHeight="1">
      <c r="B170" s="14"/>
      <c r="AE170" s="57"/>
    </row>
    <row r="171" ht="14.25" customHeight="1">
      <c r="B171" s="14"/>
      <c r="AE171" s="57"/>
    </row>
    <row r="172" ht="14.25" customHeight="1">
      <c r="B172" s="14"/>
      <c r="AE172" s="57"/>
    </row>
    <row r="173" ht="14.25" customHeight="1">
      <c r="B173" s="14"/>
      <c r="AE173" s="57"/>
    </row>
    <row r="174" ht="14.25" customHeight="1">
      <c r="B174" s="14"/>
      <c r="AE174" s="57"/>
    </row>
    <row r="175" ht="14.25" customHeight="1">
      <c r="B175" s="14"/>
      <c r="AE175" s="57"/>
    </row>
    <row r="176" ht="14.25" customHeight="1">
      <c r="B176" s="14"/>
      <c r="AE176" s="57"/>
    </row>
    <row r="177" ht="14.25" customHeight="1">
      <c r="B177" s="14"/>
      <c r="AE177" s="57"/>
    </row>
    <row r="178" ht="14.25" customHeight="1">
      <c r="B178" s="14"/>
      <c r="AE178" s="57"/>
    </row>
    <row r="179" ht="14.25" customHeight="1">
      <c r="B179" s="14"/>
      <c r="AE179" s="57"/>
    </row>
    <row r="180" ht="14.25" customHeight="1">
      <c r="B180" s="14"/>
      <c r="AE180" s="57"/>
    </row>
    <row r="181" ht="14.25" customHeight="1">
      <c r="B181" s="14"/>
      <c r="AE181" s="57"/>
    </row>
    <row r="182" ht="14.25" customHeight="1">
      <c r="B182" s="14"/>
      <c r="AE182" s="57"/>
    </row>
    <row r="183" ht="14.25" customHeight="1">
      <c r="B183" s="14"/>
      <c r="AE183" s="57"/>
    </row>
    <row r="184" ht="14.25" customHeight="1">
      <c r="B184" s="14"/>
      <c r="AE184" s="57"/>
    </row>
    <row r="185" ht="14.25" customHeight="1">
      <c r="B185" s="14"/>
      <c r="AE185" s="57"/>
    </row>
    <row r="186" ht="14.25" customHeight="1">
      <c r="B186" s="14"/>
      <c r="AE186" s="57"/>
    </row>
    <row r="187" ht="14.25" customHeight="1">
      <c r="B187" s="14"/>
      <c r="AE187" s="57"/>
    </row>
    <row r="188" ht="14.25" customHeight="1">
      <c r="B188" s="14"/>
      <c r="AE188" s="57"/>
    </row>
    <row r="189" ht="14.25" customHeight="1">
      <c r="B189" s="14"/>
      <c r="AE189" s="57"/>
    </row>
    <row r="190" ht="14.25" customHeight="1">
      <c r="B190" s="14"/>
      <c r="AE190" s="57"/>
    </row>
    <row r="191" ht="14.25" customHeight="1">
      <c r="B191" s="14"/>
      <c r="AE191" s="57"/>
    </row>
    <row r="192" ht="14.25" customHeight="1">
      <c r="B192" s="14"/>
      <c r="AE192" s="57"/>
    </row>
    <row r="193" ht="14.25" customHeight="1">
      <c r="B193" s="14"/>
      <c r="AE193" s="57"/>
    </row>
    <row r="194" ht="14.25" customHeight="1">
      <c r="B194" s="14"/>
      <c r="AE194" s="57"/>
    </row>
    <row r="195" ht="14.25" customHeight="1">
      <c r="B195" s="14"/>
      <c r="AE195" s="57"/>
    </row>
    <row r="196" ht="14.25" customHeight="1">
      <c r="B196" s="14"/>
      <c r="AE196" s="57"/>
    </row>
    <row r="197" ht="14.25" customHeight="1">
      <c r="B197" s="14"/>
      <c r="AE197" s="57"/>
    </row>
    <row r="198" ht="14.25" customHeight="1">
      <c r="B198" s="14"/>
      <c r="AE198" s="57"/>
    </row>
    <row r="199" ht="14.25" customHeight="1">
      <c r="B199" s="14"/>
      <c r="AE199" s="57"/>
    </row>
    <row r="200" ht="14.25" customHeight="1">
      <c r="B200" s="14"/>
      <c r="AE200" s="57"/>
    </row>
    <row r="201" ht="14.25" customHeight="1">
      <c r="B201" s="14"/>
      <c r="AE201" s="57"/>
    </row>
    <row r="202" ht="14.25" customHeight="1">
      <c r="B202" s="14"/>
      <c r="AE202" s="57"/>
    </row>
    <row r="203" ht="14.25" customHeight="1">
      <c r="B203" s="14"/>
      <c r="AE203" s="57"/>
    </row>
    <row r="204" ht="14.25" customHeight="1">
      <c r="B204" s="14"/>
      <c r="AE204" s="57"/>
    </row>
    <row r="205" ht="14.25" customHeight="1">
      <c r="B205" s="14"/>
      <c r="AE205" s="57"/>
    </row>
    <row r="206" ht="14.25" customHeight="1">
      <c r="B206" s="14"/>
      <c r="AE206" s="57"/>
    </row>
    <row r="207" ht="14.25" customHeight="1">
      <c r="B207" s="14"/>
      <c r="AE207" s="57"/>
    </row>
    <row r="208" ht="14.25" customHeight="1">
      <c r="B208" s="14"/>
      <c r="AE208" s="57"/>
    </row>
    <row r="209" ht="14.25" customHeight="1">
      <c r="B209" s="14"/>
      <c r="AE209" s="57"/>
    </row>
    <row r="210" ht="14.25" customHeight="1">
      <c r="B210" s="14"/>
      <c r="AE210" s="57"/>
    </row>
    <row r="211" ht="14.25" customHeight="1">
      <c r="B211" s="14"/>
      <c r="AE211" s="57"/>
    </row>
    <row r="212" ht="14.25" customHeight="1">
      <c r="B212" s="14"/>
      <c r="AE212" s="57"/>
    </row>
    <row r="213" ht="14.25" customHeight="1">
      <c r="B213" s="14"/>
      <c r="AE213" s="57"/>
    </row>
    <row r="214" ht="14.25" customHeight="1">
      <c r="B214" s="14"/>
      <c r="AE214" s="57"/>
    </row>
    <row r="215" ht="14.25" customHeight="1">
      <c r="B215" s="14"/>
      <c r="AE215" s="57"/>
    </row>
    <row r="216" ht="14.25" customHeight="1">
      <c r="B216" s="14"/>
      <c r="AE216" s="57"/>
    </row>
    <row r="217" ht="14.25" customHeight="1">
      <c r="B217" s="14"/>
      <c r="AE217" s="57"/>
    </row>
    <row r="218" ht="14.25" customHeight="1">
      <c r="B218" s="14"/>
      <c r="AE218" s="57"/>
    </row>
    <row r="219" ht="14.25" customHeight="1">
      <c r="B219" s="14"/>
      <c r="AE219" s="57"/>
    </row>
    <row r="220" ht="14.25" customHeight="1">
      <c r="B220" s="14"/>
      <c r="AE220" s="57"/>
    </row>
    <row r="221" ht="14.25" customHeight="1">
      <c r="B221" s="14"/>
      <c r="AE221" s="57"/>
    </row>
    <row r="222" ht="14.25" customHeight="1">
      <c r="B222" s="14"/>
      <c r="AE222" s="57"/>
    </row>
    <row r="223" ht="14.25" customHeight="1">
      <c r="B223" s="14"/>
      <c r="AE223" s="57"/>
    </row>
    <row r="224" ht="14.25" customHeight="1">
      <c r="B224" s="14"/>
      <c r="AE224" s="57"/>
    </row>
    <row r="225" ht="14.25" customHeight="1">
      <c r="B225" s="14"/>
      <c r="AE225" s="57"/>
    </row>
    <row r="226" ht="14.25" customHeight="1">
      <c r="B226" s="14"/>
      <c r="AE226" s="57"/>
    </row>
    <row r="227" ht="14.25" customHeight="1">
      <c r="B227" s="14"/>
      <c r="AE227" s="57"/>
    </row>
    <row r="228" ht="14.25" customHeight="1">
      <c r="B228" s="14"/>
      <c r="AE228" s="57"/>
    </row>
    <row r="229" ht="14.25" customHeight="1">
      <c r="B229" s="14"/>
      <c r="AE229" s="57"/>
    </row>
    <row r="230" ht="14.25" customHeight="1">
      <c r="B230" s="14"/>
      <c r="AE230" s="57"/>
    </row>
    <row r="231" ht="14.25" customHeight="1">
      <c r="B231" s="14"/>
      <c r="AE231" s="57"/>
    </row>
    <row r="232" ht="14.25" customHeight="1">
      <c r="B232" s="14"/>
      <c r="AE232" s="57"/>
    </row>
    <row r="233" ht="14.25" customHeight="1">
      <c r="B233" s="14"/>
      <c r="AE233" s="57"/>
    </row>
    <row r="234" ht="14.25" customHeight="1">
      <c r="B234" s="14"/>
      <c r="AE234" s="57"/>
    </row>
    <row r="235" ht="14.25" customHeight="1">
      <c r="B235" s="14"/>
      <c r="AE235" s="57"/>
    </row>
    <row r="236" ht="14.25" customHeight="1">
      <c r="B236" s="14"/>
      <c r="AE236" s="57"/>
    </row>
    <row r="237" ht="14.25" customHeight="1">
      <c r="B237" s="14"/>
      <c r="AE237" s="57"/>
    </row>
    <row r="238" ht="14.25" customHeight="1">
      <c r="B238" s="14"/>
      <c r="AE238" s="57"/>
    </row>
    <row r="239" ht="14.25" customHeight="1">
      <c r="B239" s="14"/>
      <c r="AE239" s="57"/>
    </row>
    <row r="240" ht="14.25" customHeight="1">
      <c r="B240" s="14"/>
      <c r="AE240" s="57"/>
    </row>
    <row r="241" ht="14.25" customHeight="1">
      <c r="B241" s="14"/>
      <c r="AE241" s="57"/>
    </row>
    <row r="242" ht="14.25" customHeight="1">
      <c r="B242" s="14"/>
      <c r="AE242" s="57"/>
    </row>
    <row r="243" ht="14.25" customHeight="1">
      <c r="B243" s="14"/>
      <c r="AE243" s="57"/>
    </row>
    <row r="244" ht="14.25" customHeight="1">
      <c r="B244" s="14"/>
      <c r="AE244" s="57"/>
    </row>
    <row r="245" ht="14.25" customHeight="1">
      <c r="B245" s="14"/>
      <c r="AE245" s="57"/>
    </row>
    <row r="246" ht="14.25" customHeight="1">
      <c r="B246" s="14"/>
      <c r="AE246" s="57"/>
    </row>
    <row r="247" ht="14.25" customHeight="1">
      <c r="B247" s="14"/>
      <c r="AE247" s="57"/>
    </row>
    <row r="248" ht="14.25" customHeight="1">
      <c r="B248" s="14"/>
      <c r="AE248" s="57"/>
    </row>
    <row r="249" ht="14.25" customHeight="1">
      <c r="B249" s="14"/>
      <c r="AE249" s="57"/>
    </row>
    <row r="250" ht="14.25" customHeight="1">
      <c r="B250" s="14"/>
      <c r="AE250" s="57"/>
    </row>
    <row r="251" ht="14.25" customHeight="1">
      <c r="B251" s="14"/>
      <c r="AE251" s="57"/>
    </row>
    <row r="252" ht="14.25" customHeight="1">
      <c r="B252" s="14"/>
      <c r="AE252" s="57"/>
    </row>
    <row r="253" ht="14.25" customHeight="1">
      <c r="B253" s="14"/>
      <c r="AE253" s="57"/>
    </row>
    <row r="254" ht="14.25" customHeight="1">
      <c r="B254" s="14"/>
      <c r="AE254" s="57"/>
    </row>
    <row r="255" ht="14.25" customHeight="1">
      <c r="B255" s="14"/>
      <c r="AE255" s="57"/>
    </row>
    <row r="256" ht="14.25" customHeight="1">
      <c r="B256" s="14"/>
      <c r="AE256" s="57"/>
    </row>
    <row r="257" ht="14.25" customHeight="1">
      <c r="B257" s="14"/>
      <c r="AE257" s="57"/>
    </row>
    <row r="258" ht="14.25" customHeight="1">
      <c r="B258" s="14"/>
      <c r="AE258" s="57"/>
    </row>
    <row r="259" ht="14.25" customHeight="1">
      <c r="B259" s="14"/>
      <c r="AE259" s="57"/>
    </row>
    <row r="260" ht="14.25" customHeight="1">
      <c r="B260" s="14"/>
      <c r="AE260" s="57"/>
    </row>
    <row r="261" ht="14.25" customHeight="1">
      <c r="B261" s="14"/>
      <c r="AE261" s="57"/>
    </row>
    <row r="262" ht="14.25" customHeight="1">
      <c r="B262" s="14"/>
      <c r="AE262" s="57"/>
    </row>
    <row r="263" ht="14.25" customHeight="1">
      <c r="B263" s="14"/>
      <c r="AE263" s="57"/>
    </row>
    <row r="264" ht="14.25" customHeight="1">
      <c r="B264" s="14"/>
      <c r="AE264" s="57"/>
    </row>
    <row r="265" ht="14.25" customHeight="1">
      <c r="B265" s="14"/>
      <c r="AE265" s="57"/>
    </row>
    <row r="266" ht="14.25" customHeight="1">
      <c r="B266" s="14"/>
      <c r="AE266" s="57"/>
    </row>
    <row r="267" ht="14.25" customHeight="1">
      <c r="B267" s="14"/>
      <c r="AE267" s="57"/>
    </row>
    <row r="268" ht="14.25" customHeight="1">
      <c r="B268" s="14"/>
      <c r="AE268" s="57"/>
    </row>
    <row r="269" ht="14.25" customHeight="1">
      <c r="B269" s="14"/>
      <c r="AE269" s="57"/>
    </row>
    <row r="270" ht="14.25" customHeight="1">
      <c r="B270" s="14"/>
      <c r="AE270" s="57"/>
    </row>
    <row r="271" ht="14.25" customHeight="1">
      <c r="B271" s="14"/>
      <c r="AE271" s="57"/>
    </row>
    <row r="272" ht="14.25" customHeight="1">
      <c r="B272" s="14"/>
      <c r="AE272" s="57"/>
    </row>
    <row r="273" ht="14.25" customHeight="1">
      <c r="B273" s="14"/>
      <c r="AE273" s="57"/>
    </row>
    <row r="274" ht="14.25" customHeight="1">
      <c r="B274" s="14"/>
      <c r="AE274" s="57"/>
    </row>
    <row r="275" ht="14.25" customHeight="1">
      <c r="B275" s="14"/>
      <c r="AE275" s="57"/>
    </row>
    <row r="276" ht="14.25" customHeight="1">
      <c r="B276" s="14"/>
      <c r="AE276" s="57"/>
    </row>
    <row r="277" ht="14.25" customHeight="1">
      <c r="B277" s="14"/>
      <c r="AE277" s="57"/>
    </row>
    <row r="278" ht="14.25" customHeight="1">
      <c r="B278" s="14"/>
      <c r="AE278" s="57"/>
    </row>
    <row r="279" ht="14.25" customHeight="1">
      <c r="B279" s="14"/>
      <c r="AE279" s="57"/>
    </row>
    <row r="280" ht="14.25" customHeight="1">
      <c r="B280" s="14"/>
      <c r="AE280" s="57"/>
    </row>
    <row r="281" ht="14.25" customHeight="1">
      <c r="B281" s="14"/>
      <c r="AE281" s="57"/>
    </row>
    <row r="282" ht="14.25" customHeight="1">
      <c r="B282" s="14"/>
      <c r="AE282" s="57"/>
    </row>
    <row r="283" ht="14.25" customHeight="1">
      <c r="B283" s="14"/>
      <c r="AE283" s="57"/>
    </row>
    <row r="284" ht="14.25" customHeight="1">
      <c r="B284" s="14"/>
      <c r="AE284" s="57"/>
    </row>
    <row r="285" ht="14.25" customHeight="1">
      <c r="B285" s="14"/>
      <c r="AE285" s="57"/>
    </row>
    <row r="286" ht="14.25" customHeight="1">
      <c r="B286" s="14"/>
      <c r="AE286" s="57"/>
    </row>
    <row r="287" ht="14.25" customHeight="1">
      <c r="B287" s="14"/>
      <c r="AE287" s="57"/>
    </row>
    <row r="288" ht="14.25" customHeight="1">
      <c r="B288" s="14"/>
      <c r="AE288" s="57"/>
    </row>
    <row r="289" ht="14.25" customHeight="1">
      <c r="B289" s="14"/>
      <c r="AE289" s="57"/>
    </row>
    <row r="290" ht="14.25" customHeight="1">
      <c r="B290" s="14"/>
      <c r="AE290" s="57"/>
    </row>
    <row r="291" ht="14.25" customHeight="1">
      <c r="B291" s="14"/>
      <c r="AE291" s="57"/>
    </row>
    <row r="292" ht="14.25" customHeight="1">
      <c r="B292" s="14"/>
      <c r="AE292" s="57"/>
    </row>
    <row r="293" ht="14.25" customHeight="1">
      <c r="B293" s="14"/>
      <c r="AE293" s="57"/>
    </row>
    <row r="294" ht="14.25" customHeight="1">
      <c r="B294" s="14"/>
      <c r="AE294" s="57"/>
    </row>
    <row r="295" ht="14.25" customHeight="1">
      <c r="B295" s="14"/>
      <c r="AE295" s="57"/>
    </row>
    <row r="296" ht="14.25" customHeight="1">
      <c r="B296" s="14"/>
      <c r="AE296" s="57"/>
    </row>
    <row r="297" ht="14.25" customHeight="1">
      <c r="B297" s="14"/>
      <c r="AE297" s="57"/>
    </row>
    <row r="298" ht="14.25" customHeight="1">
      <c r="B298" s="14"/>
      <c r="AE298" s="57"/>
    </row>
    <row r="299" ht="14.25" customHeight="1">
      <c r="B299" s="14"/>
      <c r="AE299" s="57"/>
    </row>
    <row r="300" ht="14.25" customHeight="1">
      <c r="B300" s="14"/>
      <c r="AE300" s="57"/>
    </row>
    <row r="301" ht="14.25" customHeight="1">
      <c r="B301" s="14"/>
      <c r="AE301" s="57"/>
    </row>
    <row r="302" ht="14.25" customHeight="1">
      <c r="B302" s="14"/>
      <c r="AE302" s="57"/>
    </row>
    <row r="303" ht="14.25" customHeight="1">
      <c r="B303" s="14"/>
      <c r="AE303" s="57"/>
    </row>
    <row r="304" ht="14.25" customHeight="1">
      <c r="B304" s="14"/>
      <c r="AE304" s="57"/>
    </row>
    <row r="305" ht="14.25" customHeight="1">
      <c r="B305" s="14"/>
      <c r="AE305" s="57"/>
    </row>
    <row r="306" ht="14.25" customHeight="1">
      <c r="B306" s="14"/>
      <c r="AE306" s="57"/>
    </row>
    <row r="307" ht="14.25" customHeight="1">
      <c r="B307" s="14"/>
      <c r="AE307" s="57"/>
    </row>
    <row r="308" ht="14.25" customHeight="1">
      <c r="B308" s="14"/>
      <c r="AE308" s="57"/>
    </row>
    <row r="309" ht="14.25" customHeight="1">
      <c r="B309" s="14"/>
      <c r="AE309" s="57"/>
    </row>
    <row r="310" ht="14.25" customHeight="1">
      <c r="B310" s="14"/>
      <c r="AE310" s="57"/>
    </row>
    <row r="311" ht="14.25" customHeight="1">
      <c r="B311" s="14"/>
      <c r="AE311" s="57"/>
    </row>
    <row r="312" ht="14.25" customHeight="1">
      <c r="B312" s="14"/>
      <c r="AE312" s="57"/>
    </row>
    <row r="313" ht="14.25" customHeight="1">
      <c r="B313" s="14"/>
      <c r="AE313" s="57"/>
    </row>
    <row r="314" ht="14.25" customHeight="1">
      <c r="B314" s="14"/>
      <c r="AE314" s="57"/>
    </row>
    <row r="315" ht="14.25" customHeight="1">
      <c r="B315" s="14"/>
      <c r="AE315" s="57"/>
    </row>
    <row r="316" ht="14.25" customHeight="1">
      <c r="B316" s="14"/>
      <c r="AE316" s="57"/>
    </row>
    <row r="317" ht="14.25" customHeight="1">
      <c r="B317" s="14"/>
      <c r="AE317" s="57"/>
    </row>
    <row r="318" ht="14.25" customHeight="1">
      <c r="B318" s="14"/>
      <c r="AE318" s="57"/>
    </row>
    <row r="319" ht="14.25" customHeight="1">
      <c r="B319" s="14"/>
      <c r="AE319" s="57"/>
    </row>
    <row r="320" ht="14.25" customHeight="1">
      <c r="B320" s="14"/>
      <c r="AE320" s="57"/>
    </row>
    <row r="321" ht="14.25" customHeight="1">
      <c r="B321" s="14"/>
      <c r="AE321" s="57"/>
    </row>
    <row r="322" ht="14.25" customHeight="1">
      <c r="B322" s="14"/>
      <c r="AE322" s="57"/>
    </row>
    <row r="323" ht="14.25" customHeight="1">
      <c r="B323" s="14"/>
      <c r="AE323" s="57"/>
    </row>
    <row r="324" ht="14.25" customHeight="1">
      <c r="B324" s="14"/>
      <c r="AE324" s="57"/>
    </row>
    <row r="325" ht="14.25" customHeight="1">
      <c r="B325" s="14"/>
      <c r="AE325" s="57"/>
    </row>
    <row r="326" ht="14.25" customHeight="1">
      <c r="B326" s="14"/>
      <c r="AE326" s="57"/>
    </row>
    <row r="327" ht="14.25" customHeight="1">
      <c r="B327" s="14"/>
      <c r="AE327" s="57"/>
    </row>
    <row r="328" ht="14.25" customHeight="1">
      <c r="B328" s="14"/>
      <c r="AE328" s="57"/>
    </row>
    <row r="329" ht="14.25" customHeight="1">
      <c r="B329" s="14"/>
      <c r="AE329" s="57"/>
    </row>
    <row r="330" ht="14.25" customHeight="1">
      <c r="B330" s="14"/>
      <c r="AE330" s="57"/>
    </row>
    <row r="331" ht="14.25" customHeight="1">
      <c r="B331" s="14"/>
      <c r="AE331" s="57"/>
    </row>
    <row r="332" ht="14.25" customHeight="1">
      <c r="B332" s="14"/>
      <c r="AE332" s="57"/>
    </row>
    <row r="333" ht="14.25" customHeight="1">
      <c r="B333" s="14"/>
      <c r="AE333" s="57"/>
    </row>
    <row r="334" ht="14.25" customHeight="1">
      <c r="B334" s="14"/>
      <c r="AE334" s="57"/>
    </row>
    <row r="335" ht="14.25" customHeight="1">
      <c r="B335" s="14"/>
      <c r="AE335" s="57"/>
    </row>
    <row r="336" ht="14.25" customHeight="1">
      <c r="B336" s="14"/>
      <c r="AE336" s="57"/>
    </row>
    <row r="337" ht="14.25" customHeight="1">
      <c r="B337" s="14"/>
      <c r="AE337" s="57"/>
    </row>
    <row r="338" ht="14.25" customHeight="1">
      <c r="B338" s="14"/>
      <c r="AE338" s="57"/>
    </row>
    <row r="339" ht="14.25" customHeight="1">
      <c r="B339" s="14"/>
      <c r="AE339" s="57"/>
    </row>
    <row r="340" ht="14.25" customHeight="1">
      <c r="B340" s="14"/>
      <c r="AE340" s="57"/>
    </row>
    <row r="341" ht="14.25" customHeight="1">
      <c r="B341" s="14"/>
      <c r="AE341" s="57"/>
    </row>
    <row r="342" ht="14.25" customHeight="1">
      <c r="B342" s="14"/>
      <c r="AE342" s="57"/>
    </row>
    <row r="343" ht="14.25" customHeight="1">
      <c r="B343" s="14"/>
      <c r="AE343" s="57"/>
    </row>
    <row r="344" ht="15.75" customHeight="1">
      <c r="AE344" s="57"/>
    </row>
    <row r="345" ht="15.75" customHeight="1">
      <c r="AE345" s="57"/>
    </row>
    <row r="346" ht="15.75" customHeight="1">
      <c r="AE346" s="57"/>
    </row>
    <row r="347" ht="15.75" customHeight="1">
      <c r="AE347" s="57"/>
    </row>
    <row r="348" ht="15.75" customHeight="1">
      <c r="AE348" s="57"/>
    </row>
    <row r="349" ht="15.75" customHeight="1">
      <c r="AE349" s="57"/>
    </row>
    <row r="350" ht="15.75" customHeight="1">
      <c r="AE350" s="57"/>
    </row>
    <row r="351" ht="15.75" customHeight="1">
      <c r="AE351" s="57"/>
    </row>
    <row r="352" ht="15.75" customHeight="1">
      <c r="AE352" s="57"/>
    </row>
    <row r="353" ht="15.75" customHeight="1">
      <c r="AE353" s="57"/>
    </row>
    <row r="354" ht="15.75" customHeight="1">
      <c r="AE354" s="57"/>
    </row>
    <row r="355" ht="15.75" customHeight="1">
      <c r="AE355" s="57"/>
    </row>
    <row r="356" ht="15.75" customHeight="1">
      <c r="AE356" s="57"/>
    </row>
    <row r="357" ht="15.75" customHeight="1">
      <c r="AE357" s="57"/>
    </row>
    <row r="358" ht="15.75" customHeight="1">
      <c r="AE358" s="57"/>
    </row>
    <row r="359" ht="15.75" customHeight="1">
      <c r="AE359" s="57"/>
    </row>
    <row r="360" ht="15.75" customHeight="1">
      <c r="AE360" s="57"/>
    </row>
    <row r="361" ht="15.75" customHeight="1">
      <c r="AE361" s="57"/>
    </row>
    <row r="362" ht="15.75" customHeight="1">
      <c r="AE362" s="57"/>
    </row>
    <row r="363" ht="15.75" customHeight="1">
      <c r="AE363" s="57"/>
    </row>
    <row r="364" ht="15.75" customHeight="1">
      <c r="AE364" s="57"/>
    </row>
    <row r="365" ht="15.75" customHeight="1">
      <c r="AE365" s="57"/>
    </row>
    <row r="366" ht="15.75" customHeight="1">
      <c r="AE366" s="57"/>
    </row>
    <row r="367" ht="15.75" customHeight="1">
      <c r="AE367" s="57"/>
    </row>
    <row r="368" ht="15.75" customHeight="1">
      <c r="AE368" s="57"/>
    </row>
    <row r="369" ht="15.75" customHeight="1">
      <c r="AE369" s="57"/>
    </row>
    <row r="370" ht="15.75" customHeight="1">
      <c r="AE370" s="57"/>
    </row>
    <row r="371" ht="15.75" customHeight="1">
      <c r="AE371" s="57"/>
    </row>
    <row r="372" ht="15.75" customHeight="1">
      <c r="AE372" s="57"/>
    </row>
    <row r="373" ht="15.75" customHeight="1">
      <c r="AE373" s="57"/>
    </row>
    <row r="374" ht="15.75" customHeight="1">
      <c r="AE374" s="57"/>
    </row>
    <row r="375" ht="15.75" customHeight="1">
      <c r="AE375" s="57"/>
    </row>
    <row r="376" ht="15.75" customHeight="1">
      <c r="AE376" s="57"/>
    </row>
    <row r="377" ht="15.75" customHeight="1">
      <c r="AE377" s="57"/>
    </row>
    <row r="378" ht="15.75" customHeight="1">
      <c r="AE378" s="57"/>
    </row>
    <row r="379" ht="15.75" customHeight="1">
      <c r="AE379" s="57"/>
    </row>
    <row r="380" ht="15.75" customHeight="1">
      <c r="AE380" s="57"/>
    </row>
    <row r="381" ht="15.75" customHeight="1">
      <c r="AE381" s="57"/>
    </row>
    <row r="382" ht="15.75" customHeight="1">
      <c r="AE382" s="57"/>
    </row>
    <row r="383" ht="15.75" customHeight="1">
      <c r="AE383" s="57"/>
    </row>
    <row r="384" ht="15.75" customHeight="1">
      <c r="AE384" s="57"/>
    </row>
    <row r="385" ht="15.75" customHeight="1">
      <c r="AE385" s="57"/>
    </row>
    <row r="386" ht="15.75" customHeight="1">
      <c r="AE386" s="57"/>
    </row>
    <row r="387" ht="15.75" customHeight="1">
      <c r="AE387" s="57"/>
    </row>
    <row r="388" ht="15.75" customHeight="1">
      <c r="AE388" s="57"/>
    </row>
    <row r="389" ht="15.75" customHeight="1">
      <c r="AE389" s="57"/>
    </row>
    <row r="390" ht="15.75" customHeight="1">
      <c r="AE390" s="57"/>
    </row>
    <row r="391" ht="15.75" customHeight="1">
      <c r="AE391" s="57"/>
    </row>
    <row r="392" ht="15.75" customHeight="1">
      <c r="AE392" s="57"/>
    </row>
    <row r="393" ht="15.75" customHeight="1">
      <c r="AE393" s="57"/>
    </row>
    <row r="394" ht="15.75" customHeight="1">
      <c r="AE394" s="57"/>
    </row>
    <row r="395" ht="15.75" customHeight="1">
      <c r="AE395" s="57"/>
    </row>
    <row r="396" ht="15.75" customHeight="1">
      <c r="AE396" s="57"/>
    </row>
    <row r="397" ht="15.75" customHeight="1">
      <c r="AE397" s="57"/>
    </row>
    <row r="398" ht="15.75" customHeight="1">
      <c r="AE398" s="57"/>
    </row>
    <row r="399" ht="15.75" customHeight="1">
      <c r="AE399" s="57"/>
    </row>
    <row r="400" ht="15.75" customHeight="1">
      <c r="AE400" s="57"/>
    </row>
    <row r="401" ht="15.75" customHeight="1">
      <c r="AE401" s="57"/>
    </row>
    <row r="402" ht="15.75" customHeight="1">
      <c r="AE402" s="57"/>
    </row>
    <row r="403" ht="15.75" customHeight="1">
      <c r="AE403" s="57"/>
    </row>
    <row r="404" ht="15.75" customHeight="1">
      <c r="AE404" s="57"/>
    </row>
    <row r="405" ht="15.75" customHeight="1">
      <c r="AE405" s="57"/>
    </row>
    <row r="406" ht="15.75" customHeight="1">
      <c r="AE406" s="57"/>
    </row>
    <row r="407" ht="15.75" customHeight="1">
      <c r="AE407" s="57"/>
    </row>
    <row r="408" ht="15.75" customHeight="1">
      <c r="AE408" s="57"/>
    </row>
    <row r="409" ht="15.75" customHeight="1">
      <c r="AE409" s="57"/>
    </row>
    <row r="410" ht="15.75" customHeight="1">
      <c r="AE410" s="57"/>
    </row>
    <row r="411" ht="15.75" customHeight="1">
      <c r="AE411" s="57"/>
    </row>
    <row r="412" ht="15.75" customHeight="1">
      <c r="AE412" s="57"/>
    </row>
    <row r="413" ht="15.75" customHeight="1">
      <c r="AE413" s="57"/>
    </row>
    <row r="414" ht="15.75" customHeight="1">
      <c r="AE414" s="57"/>
    </row>
    <row r="415" ht="15.75" customHeight="1">
      <c r="AE415" s="57"/>
    </row>
    <row r="416" ht="15.75" customHeight="1">
      <c r="AE416" s="57"/>
    </row>
    <row r="417" ht="15.75" customHeight="1">
      <c r="AE417" s="57"/>
    </row>
    <row r="418" ht="15.75" customHeight="1">
      <c r="AE418" s="57"/>
    </row>
    <row r="419" ht="15.75" customHeight="1">
      <c r="AE419" s="57"/>
    </row>
    <row r="420" ht="15.75" customHeight="1">
      <c r="AE420" s="57"/>
    </row>
    <row r="421" ht="15.75" customHeight="1">
      <c r="AE421" s="57"/>
    </row>
    <row r="422" ht="15.75" customHeight="1">
      <c r="AE422" s="57"/>
    </row>
    <row r="423" ht="15.75" customHeight="1">
      <c r="AE423" s="57"/>
    </row>
    <row r="424" ht="15.75" customHeight="1">
      <c r="AE424" s="57"/>
    </row>
    <row r="425" ht="15.75" customHeight="1">
      <c r="AE425" s="57"/>
    </row>
    <row r="426" ht="15.75" customHeight="1">
      <c r="AE426" s="57"/>
    </row>
    <row r="427" ht="15.75" customHeight="1">
      <c r="AE427" s="57"/>
    </row>
    <row r="428" ht="15.75" customHeight="1">
      <c r="AE428" s="57"/>
    </row>
    <row r="429" ht="15.75" customHeight="1">
      <c r="AE429" s="57"/>
    </row>
    <row r="430" ht="15.75" customHeight="1">
      <c r="AE430" s="57"/>
    </row>
    <row r="431" ht="15.75" customHeight="1">
      <c r="AE431" s="57"/>
    </row>
    <row r="432" ht="15.75" customHeight="1">
      <c r="AE432" s="57"/>
    </row>
    <row r="433" ht="15.75" customHeight="1">
      <c r="AE433" s="57"/>
    </row>
    <row r="434" ht="15.75" customHeight="1">
      <c r="AE434" s="57"/>
    </row>
    <row r="435" ht="15.75" customHeight="1">
      <c r="AE435" s="57"/>
    </row>
    <row r="436" ht="15.75" customHeight="1">
      <c r="AE436" s="57"/>
    </row>
    <row r="437" ht="15.75" customHeight="1">
      <c r="AE437" s="57"/>
    </row>
    <row r="438" ht="15.75" customHeight="1">
      <c r="AE438" s="57"/>
    </row>
    <row r="439" ht="15.75" customHeight="1">
      <c r="AE439" s="57"/>
    </row>
    <row r="440" ht="15.75" customHeight="1">
      <c r="AE440" s="57"/>
    </row>
    <row r="441" ht="15.75" customHeight="1">
      <c r="AE441" s="57"/>
    </row>
    <row r="442" ht="15.75" customHeight="1">
      <c r="AE442" s="57"/>
    </row>
    <row r="443" ht="15.75" customHeight="1">
      <c r="AE443" s="57"/>
    </row>
    <row r="444" ht="15.75" customHeight="1">
      <c r="AE444" s="57"/>
    </row>
    <row r="445" ht="15.75" customHeight="1">
      <c r="AE445" s="57"/>
    </row>
    <row r="446" ht="15.75" customHeight="1">
      <c r="AE446" s="57"/>
    </row>
    <row r="447" ht="15.75" customHeight="1">
      <c r="AE447" s="57"/>
    </row>
    <row r="448" ht="15.75" customHeight="1">
      <c r="AE448" s="57"/>
    </row>
    <row r="449" ht="15.75" customHeight="1">
      <c r="AE449" s="57"/>
    </row>
    <row r="450" ht="15.75" customHeight="1">
      <c r="AE450" s="57"/>
    </row>
    <row r="451" ht="15.75" customHeight="1">
      <c r="AE451" s="57"/>
    </row>
    <row r="452" ht="15.75" customHeight="1">
      <c r="AE452" s="57"/>
    </row>
    <row r="453" ht="15.75" customHeight="1">
      <c r="AE453" s="57"/>
    </row>
    <row r="454" ht="15.75" customHeight="1">
      <c r="AE454" s="57"/>
    </row>
    <row r="455" ht="15.75" customHeight="1">
      <c r="AE455" s="57"/>
    </row>
    <row r="456" ht="15.75" customHeight="1">
      <c r="AE456" s="57"/>
    </row>
    <row r="457" ht="15.75" customHeight="1">
      <c r="AE457" s="57"/>
    </row>
    <row r="458" ht="15.75" customHeight="1">
      <c r="AE458" s="57"/>
    </row>
    <row r="459" ht="15.75" customHeight="1">
      <c r="AE459" s="57"/>
    </row>
    <row r="460" ht="15.75" customHeight="1">
      <c r="AE460" s="57"/>
    </row>
    <row r="461" ht="15.75" customHeight="1">
      <c r="AE461" s="57"/>
    </row>
    <row r="462" ht="15.75" customHeight="1">
      <c r="AE462" s="57"/>
    </row>
    <row r="463" ht="15.75" customHeight="1">
      <c r="AE463" s="57"/>
    </row>
    <row r="464" ht="15.75" customHeight="1">
      <c r="AE464" s="57"/>
    </row>
    <row r="465" ht="15.75" customHeight="1">
      <c r="AE465" s="57"/>
    </row>
    <row r="466" ht="15.75" customHeight="1">
      <c r="AE466" s="57"/>
    </row>
    <row r="467" ht="15.75" customHeight="1">
      <c r="AE467" s="57"/>
    </row>
    <row r="468" ht="15.75" customHeight="1">
      <c r="AE468" s="57"/>
    </row>
    <row r="469" ht="15.75" customHeight="1">
      <c r="AE469" s="57"/>
    </row>
    <row r="470" ht="15.75" customHeight="1">
      <c r="AE470" s="57"/>
    </row>
    <row r="471" ht="15.75" customHeight="1">
      <c r="AE471" s="57"/>
    </row>
    <row r="472" ht="15.75" customHeight="1">
      <c r="AE472" s="57"/>
    </row>
    <row r="473" ht="15.75" customHeight="1">
      <c r="AE473" s="57"/>
    </row>
    <row r="474" ht="15.75" customHeight="1">
      <c r="AE474" s="57"/>
    </row>
    <row r="475" ht="15.75" customHeight="1">
      <c r="AE475" s="57"/>
    </row>
    <row r="476" ht="15.75" customHeight="1">
      <c r="AE476" s="57"/>
    </row>
    <row r="477" ht="15.75" customHeight="1">
      <c r="AE477" s="57"/>
    </row>
    <row r="478" ht="15.75" customHeight="1">
      <c r="AE478" s="57"/>
    </row>
    <row r="479" ht="15.75" customHeight="1">
      <c r="AE479" s="57"/>
    </row>
    <row r="480" ht="15.75" customHeight="1">
      <c r="AE480" s="57"/>
    </row>
    <row r="481" ht="15.75" customHeight="1">
      <c r="AE481" s="57"/>
    </row>
    <row r="482" ht="15.75" customHeight="1">
      <c r="AE482" s="57"/>
    </row>
    <row r="483" ht="15.75" customHeight="1">
      <c r="AE483" s="57"/>
    </row>
    <row r="484" ht="15.75" customHeight="1">
      <c r="AE484" s="57"/>
    </row>
    <row r="485" ht="15.75" customHeight="1">
      <c r="AE485" s="57"/>
    </row>
    <row r="486" ht="15.75" customHeight="1">
      <c r="AE486" s="57"/>
    </row>
    <row r="487" ht="15.75" customHeight="1">
      <c r="AE487" s="57"/>
    </row>
    <row r="488" ht="15.75" customHeight="1">
      <c r="AE488" s="57"/>
    </row>
    <row r="489" ht="15.75" customHeight="1">
      <c r="AE489" s="57"/>
    </row>
    <row r="490" ht="15.75" customHeight="1">
      <c r="AE490" s="57"/>
    </row>
    <row r="491" ht="15.75" customHeight="1">
      <c r="AE491" s="57"/>
    </row>
    <row r="492" ht="15.75" customHeight="1">
      <c r="AE492" s="57"/>
    </row>
    <row r="493" ht="15.75" customHeight="1">
      <c r="AE493" s="57"/>
    </row>
    <row r="494" ht="15.75" customHeight="1">
      <c r="AE494" s="57"/>
    </row>
    <row r="495" ht="15.75" customHeight="1">
      <c r="AE495" s="57"/>
    </row>
    <row r="496" ht="15.75" customHeight="1">
      <c r="AE496" s="57"/>
    </row>
    <row r="497" ht="15.75" customHeight="1">
      <c r="AE497" s="57"/>
    </row>
    <row r="498" ht="15.75" customHeight="1">
      <c r="AE498" s="57"/>
    </row>
    <row r="499" ht="15.75" customHeight="1">
      <c r="AE499" s="57"/>
    </row>
    <row r="500" ht="15.75" customHeight="1">
      <c r="AE500" s="57"/>
    </row>
    <row r="501" ht="15.75" customHeight="1">
      <c r="AE501" s="57"/>
    </row>
    <row r="502" ht="15.75" customHeight="1">
      <c r="AE502" s="57"/>
    </row>
    <row r="503" ht="15.75" customHeight="1">
      <c r="AE503" s="57"/>
    </row>
    <row r="504" ht="15.75" customHeight="1">
      <c r="AE504" s="57"/>
    </row>
    <row r="505" ht="15.75" customHeight="1">
      <c r="AE505" s="57"/>
    </row>
    <row r="506" ht="15.75" customHeight="1">
      <c r="AE506" s="57"/>
    </row>
    <row r="507" ht="15.75" customHeight="1">
      <c r="AE507" s="57"/>
    </row>
    <row r="508" ht="15.75" customHeight="1">
      <c r="AE508" s="57"/>
    </row>
    <row r="509" ht="15.75" customHeight="1">
      <c r="AE509" s="57"/>
    </row>
    <row r="510" ht="15.75" customHeight="1">
      <c r="AE510" s="57"/>
    </row>
    <row r="511" ht="15.75" customHeight="1">
      <c r="AE511" s="57"/>
    </row>
    <row r="512" ht="15.75" customHeight="1">
      <c r="AE512" s="57"/>
    </row>
    <row r="513" ht="15.75" customHeight="1">
      <c r="AE513" s="57"/>
    </row>
    <row r="514" ht="15.75" customHeight="1">
      <c r="AE514" s="57"/>
    </row>
    <row r="515" ht="15.75" customHeight="1">
      <c r="AE515" s="57"/>
    </row>
    <row r="516" ht="15.75" customHeight="1">
      <c r="AE516" s="57"/>
    </row>
    <row r="517" ht="15.75" customHeight="1">
      <c r="AE517" s="57"/>
    </row>
    <row r="518" ht="15.75" customHeight="1">
      <c r="AE518" s="57"/>
    </row>
    <row r="519" ht="15.75" customHeight="1">
      <c r="AE519" s="57"/>
    </row>
    <row r="520" ht="15.75" customHeight="1">
      <c r="AE520" s="57"/>
    </row>
    <row r="521" ht="15.75" customHeight="1">
      <c r="AE521" s="57"/>
    </row>
    <row r="522" ht="15.75" customHeight="1">
      <c r="AE522" s="57"/>
    </row>
    <row r="523" ht="15.75" customHeight="1">
      <c r="AE523" s="57"/>
    </row>
    <row r="524" ht="15.75" customHeight="1">
      <c r="AE524" s="57"/>
    </row>
    <row r="525" ht="15.75" customHeight="1">
      <c r="AE525" s="57"/>
    </row>
    <row r="526" ht="15.75" customHeight="1">
      <c r="AE526" s="57"/>
    </row>
    <row r="527" ht="15.75" customHeight="1">
      <c r="AE527" s="57"/>
    </row>
    <row r="528" ht="15.75" customHeight="1">
      <c r="AE528" s="57"/>
    </row>
    <row r="529" ht="15.75" customHeight="1">
      <c r="AE529" s="57"/>
    </row>
    <row r="530" ht="15.75" customHeight="1">
      <c r="AE530" s="57"/>
    </row>
    <row r="531" ht="15.75" customHeight="1">
      <c r="AE531" s="57"/>
    </row>
    <row r="532" ht="15.75" customHeight="1">
      <c r="AE532" s="57"/>
    </row>
    <row r="533" ht="15.75" customHeight="1">
      <c r="AE533" s="57"/>
    </row>
    <row r="534" ht="15.75" customHeight="1">
      <c r="AE534" s="57"/>
    </row>
    <row r="535" ht="15.75" customHeight="1">
      <c r="AE535" s="57"/>
    </row>
    <row r="536" ht="15.75" customHeight="1">
      <c r="AE536" s="57"/>
    </row>
    <row r="537" ht="15.75" customHeight="1">
      <c r="AE537" s="57"/>
    </row>
    <row r="538" ht="15.75" customHeight="1">
      <c r="AE538" s="57"/>
    </row>
    <row r="539" ht="15.75" customHeight="1">
      <c r="AE539" s="57"/>
    </row>
    <row r="540" ht="15.75" customHeight="1">
      <c r="AE540" s="57"/>
    </row>
    <row r="541" ht="15.75" customHeight="1">
      <c r="AE541" s="57"/>
    </row>
    <row r="542" ht="15.75" customHeight="1">
      <c r="AE542" s="57"/>
    </row>
    <row r="543" ht="15.75" customHeight="1">
      <c r="AE543" s="57"/>
    </row>
    <row r="544" ht="15.75" customHeight="1">
      <c r="AE544" s="57"/>
    </row>
    <row r="545" ht="15.75" customHeight="1">
      <c r="AE545" s="57"/>
    </row>
    <row r="546" ht="15.75" customHeight="1">
      <c r="AE546" s="57"/>
    </row>
    <row r="547" ht="15.75" customHeight="1">
      <c r="AE547" s="57"/>
    </row>
    <row r="548" ht="15.75" customHeight="1">
      <c r="AE548" s="57"/>
    </row>
    <row r="549" ht="15.75" customHeight="1">
      <c r="AE549" s="57"/>
    </row>
    <row r="550" ht="15.75" customHeight="1">
      <c r="AE550" s="57"/>
    </row>
    <row r="551" ht="15.75" customHeight="1">
      <c r="AE551" s="57"/>
    </row>
    <row r="552" ht="15.75" customHeight="1">
      <c r="AE552" s="57"/>
    </row>
    <row r="553" ht="15.75" customHeight="1">
      <c r="AE553" s="57"/>
    </row>
    <row r="554" ht="15.75" customHeight="1">
      <c r="AE554" s="57"/>
    </row>
    <row r="555" ht="15.75" customHeight="1">
      <c r="AE555" s="57"/>
    </row>
    <row r="556" ht="15.75" customHeight="1">
      <c r="AE556" s="57"/>
    </row>
    <row r="557" ht="15.75" customHeight="1">
      <c r="AE557" s="57"/>
    </row>
    <row r="558" ht="15.75" customHeight="1">
      <c r="AE558" s="57"/>
    </row>
    <row r="559" ht="15.75" customHeight="1">
      <c r="AE559" s="57"/>
    </row>
    <row r="560" ht="15.75" customHeight="1">
      <c r="AE560" s="57"/>
    </row>
    <row r="561" ht="15.75" customHeight="1">
      <c r="AE561" s="57"/>
    </row>
    <row r="562" ht="15.75" customHeight="1">
      <c r="AE562" s="57"/>
    </row>
    <row r="563" ht="15.75" customHeight="1">
      <c r="AE563" s="57"/>
    </row>
    <row r="564" ht="15.75" customHeight="1">
      <c r="AE564" s="57"/>
    </row>
    <row r="565" ht="15.75" customHeight="1">
      <c r="AE565" s="57"/>
    </row>
    <row r="566" ht="15.75" customHeight="1">
      <c r="AE566" s="57"/>
    </row>
    <row r="567" ht="15.75" customHeight="1">
      <c r="AE567" s="57"/>
    </row>
    <row r="568" ht="15.75" customHeight="1">
      <c r="AE568" s="57"/>
    </row>
    <row r="569" ht="15.75" customHeight="1">
      <c r="AE569" s="57"/>
    </row>
    <row r="570" ht="15.75" customHeight="1">
      <c r="AE570" s="57"/>
    </row>
    <row r="571" ht="15.75" customHeight="1">
      <c r="AE571" s="57"/>
    </row>
    <row r="572" ht="15.75" customHeight="1">
      <c r="AE572" s="57"/>
    </row>
    <row r="573" ht="15.75" customHeight="1">
      <c r="AE573" s="57"/>
    </row>
    <row r="574" ht="15.75" customHeight="1">
      <c r="AE574" s="57"/>
    </row>
    <row r="575" ht="15.75" customHeight="1">
      <c r="AE575" s="57"/>
    </row>
    <row r="576" ht="15.75" customHeight="1">
      <c r="AE576" s="57"/>
    </row>
    <row r="577" ht="15.75" customHeight="1">
      <c r="AE577" s="57"/>
    </row>
    <row r="578" ht="15.75" customHeight="1">
      <c r="AE578" s="57"/>
    </row>
    <row r="579" ht="15.75" customHeight="1">
      <c r="AE579" s="57"/>
    </row>
    <row r="580" ht="15.75" customHeight="1">
      <c r="AE580" s="57"/>
    </row>
    <row r="581" ht="15.75" customHeight="1">
      <c r="AE581" s="57"/>
    </row>
    <row r="582" ht="15.75" customHeight="1">
      <c r="AE582" s="57"/>
    </row>
    <row r="583" ht="15.75" customHeight="1">
      <c r="AE583" s="57"/>
    </row>
    <row r="584" ht="15.75" customHeight="1">
      <c r="AE584" s="57"/>
    </row>
    <row r="585" ht="15.75" customHeight="1">
      <c r="AE585" s="57"/>
    </row>
    <row r="586" ht="15.75" customHeight="1">
      <c r="AE586" s="57"/>
    </row>
    <row r="587" ht="15.75" customHeight="1">
      <c r="AE587" s="57"/>
    </row>
    <row r="588" ht="15.75" customHeight="1">
      <c r="AE588" s="57"/>
    </row>
    <row r="589" ht="15.75" customHeight="1">
      <c r="AE589" s="57"/>
    </row>
    <row r="590" ht="15.75" customHeight="1">
      <c r="AE590" s="57"/>
    </row>
    <row r="591" ht="15.75" customHeight="1">
      <c r="AE591" s="57"/>
    </row>
    <row r="592" ht="15.75" customHeight="1">
      <c r="AE592" s="57"/>
    </row>
    <row r="593" ht="15.75" customHeight="1">
      <c r="AE593" s="57"/>
    </row>
    <row r="594" ht="15.75" customHeight="1">
      <c r="AE594" s="57"/>
    </row>
    <row r="595" ht="15.75" customHeight="1">
      <c r="AE595" s="57"/>
    </row>
    <row r="596" ht="15.75" customHeight="1">
      <c r="AE596" s="57"/>
    </row>
    <row r="597" ht="15.75" customHeight="1">
      <c r="AE597" s="57"/>
    </row>
    <row r="598" ht="15.75" customHeight="1">
      <c r="AE598" s="57"/>
    </row>
    <row r="599" ht="15.75" customHeight="1">
      <c r="AE599" s="57"/>
    </row>
    <row r="600" ht="15.75" customHeight="1">
      <c r="AE600" s="57"/>
    </row>
    <row r="601" ht="15.75" customHeight="1">
      <c r="AE601" s="57"/>
    </row>
    <row r="602" ht="15.75" customHeight="1">
      <c r="AE602" s="57"/>
    </row>
    <row r="603" ht="15.75" customHeight="1">
      <c r="AE603" s="57"/>
    </row>
    <row r="604" ht="15.75" customHeight="1">
      <c r="AE604" s="57"/>
    </row>
    <row r="605" ht="15.75" customHeight="1">
      <c r="AE605" s="57"/>
    </row>
    <row r="606" ht="15.75" customHeight="1">
      <c r="AE606" s="57"/>
    </row>
    <row r="607" ht="15.75" customHeight="1">
      <c r="AE607" s="57"/>
    </row>
    <row r="608" ht="15.75" customHeight="1">
      <c r="AE608" s="57"/>
    </row>
    <row r="609" ht="15.75" customHeight="1">
      <c r="AE609" s="57"/>
    </row>
    <row r="610" ht="15.75" customHeight="1">
      <c r="AE610" s="57"/>
    </row>
    <row r="611" ht="15.75" customHeight="1">
      <c r="AE611" s="57"/>
    </row>
    <row r="612" ht="15.75" customHeight="1">
      <c r="AE612" s="57"/>
    </row>
    <row r="613" ht="15.75" customHeight="1">
      <c r="AE613" s="57"/>
    </row>
    <row r="614" ht="15.75" customHeight="1">
      <c r="AE614" s="57"/>
    </row>
    <row r="615" ht="15.75" customHeight="1">
      <c r="AE615" s="57"/>
    </row>
    <row r="616" ht="15.75" customHeight="1">
      <c r="AE616" s="57"/>
    </row>
    <row r="617" ht="15.75" customHeight="1">
      <c r="AE617" s="57"/>
    </row>
    <row r="618" ht="15.75" customHeight="1">
      <c r="AE618" s="57"/>
    </row>
    <row r="619" ht="15.75" customHeight="1">
      <c r="AE619" s="57"/>
    </row>
    <row r="620" ht="15.75" customHeight="1">
      <c r="AE620" s="57"/>
    </row>
    <row r="621" ht="15.75" customHeight="1">
      <c r="AE621" s="57"/>
    </row>
    <row r="622" ht="15.75" customHeight="1">
      <c r="AE622" s="57"/>
    </row>
    <row r="623" ht="15.75" customHeight="1">
      <c r="AE623" s="57"/>
    </row>
    <row r="624" ht="15.75" customHeight="1">
      <c r="AE624" s="57"/>
    </row>
    <row r="625" ht="15.75" customHeight="1">
      <c r="AE625" s="57"/>
    </row>
    <row r="626" ht="15.75" customHeight="1">
      <c r="AE626" s="57"/>
    </row>
    <row r="627" ht="15.75" customHeight="1">
      <c r="AE627" s="57"/>
    </row>
    <row r="628" ht="15.75" customHeight="1">
      <c r="AE628" s="57"/>
    </row>
    <row r="629" ht="15.75" customHeight="1">
      <c r="AE629" s="57"/>
    </row>
    <row r="630" ht="15.75" customHeight="1">
      <c r="AE630" s="57"/>
    </row>
    <row r="631" ht="15.75" customHeight="1">
      <c r="AE631" s="57"/>
    </row>
    <row r="632" ht="15.75" customHeight="1">
      <c r="AE632" s="57"/>
    </row>
    <row r="633" ht="15.75" customHeight="1">
      <c r="AE633" s="57"/>
    </row>
    <row r="634" ht="15.75" customHeight="1">
      <c r="AE634" s="57"/>
    </row>
    <row r="635" ht="15.75" customHeight="1">
      <c r="AE635" s="57"/>
    </row>
    <row r="636" ht="15.75" customHeight="1">
      <c r="AE636" s="57"/>
    </row>
    <row r="637" ht="15.75" customHeight="1">
      <c r="AE637" s="57"/>
    </row>
    <row r="638" ht="15.75" customHeight="1">
      <c r="AE638" s="57"/>
    </row>
    <row r="639" ht="15.75" customHeight="1">
      <c r="AE639" s="57"/>
    </row>
    <row r="640" ht="15.75" customHeight="1">
      <c r="AE640" s="57"/>
    </row>
    <row r="641" ht="15.75" customHeight="1">
      <c r="AE641" s="57"/>
    </row>
    <row r="642" ht="15.75" customHeight="1">
      <c r="AE642" s="57"/>
    </row>
    <row r="643" ht="15.75" customHeight="1">
      <c r="AE643" s="57"/>
    </row>
    <row r="644" ht="15.75" customHeight="1">
      <c r="AE644" s="57"/>
    </row>
    <row r="645" ht="15.75" customHeight="1">
      <c r="AE645" s="57"/>
    </row>
    <row r="646" ht="15.75" customHeight="1">
      <c r="AE646" s="57"/>
    </row>
    <row r="647" ht="15.75" customHeight="1">
      <c r="AE647" s="57"/>
    </row>
    <row r="648" ht="15.75" customHeight="1">
      <c r="AE648" s="57"/>
    </row>
    <row r="649" ht="15.75" customHeight="1">
      <c r="AE649" s="57"/>
    </row>
    <row r="650" ht="15.75" customHeight="1">
      <c r="AE650" s="57"/>
    </row>
    <row r="651" ht="15.75" customHeight="1">
      <c r="AE651" s="57"/>
    </row>
    <row r="652" ht="15.75" customHeight="1">
      <c r="AE652" s="57"/>
    </row>
    <row r="653" ht="15.75" customHeight="1">
      <c r="AE653" s="57"/>
    </row>
    <row r="654" ht="15.75" customHeight="1">
      <c r="AE654" s="57"/>
    </row>
    <row r="655" ht="15.75" customHeight="1">
      <c r="AE655" s="57"/>
    </row>
    <row r="656" ht="15.75" customHeight="1">
      <c r="AE656" s="57"/>
    </row>
    <row r="657" ht="15.75" customHeight="1">
      <c r="AE657" s="57"/>
    </row>
    <row r="658" ht="15.75" customHeight="1">
      <c r="AE658" s="57"/>
    </row>
    <row r="659" ht="15.75" customHeight="1">
      <c r="AE659" s="57"/>
    </row>
    <row r="660" ht="15.75" customHeight="1">
      <c r="AE660" s="57"/>
    </row>
    <row r="661" ht="15.75" customHeight="1">
      <c r="AE661" s="57"/>
    </row>
    <row r="662" ht="15.75" customHeight="1">
      <c r="AE662" s="57"/>
    </row>
    <row r="663" ht="15.75" customHeight="1">
      <c r="AE663" s="57"/>
    </row>
    <row r="664" ht="15.75" customHeight="1">
      <c r="AE664" s="57"/>
    </row>
    <row r="665" ht="15.75" customHeight="1">
      <c r="AE665" s="57"/>
    </row>
    <row r="666" ht="15.75" customHeight="1">
      <c r="AE666" s="57"/>
    </row>
    <row r="667" ht="15.75" customHeight="1">
      <c r="AE667" s="57"/>
    </row>
    <row r="668" ht="15.75" customHeight="1">
      <c r="AE668" s="57"/>
    </row>
    <row r="669" ht="15.75" customHeight="1">
      <c r="AE669" s="57"/>
    </row>
    <row r="670" ht="15.75" customHeight="1">
      <c r="AE670" s="57"/>
    </row>
    <row r="671" ht="15.75" customHeight="1">
      <c r="AE671" s="57"/>
    </row>
    <row r="672" ht="15.75" customHeight="1">
      <c r="AE672" s="57"/>
    </row>
    <row r="673" ht="15.75" customHeight="1">
      <c r="AE673" s="57"/>
    </row>
    <row r="674" ht="15.75" customHeight="1">
      <c r="AE674" s="57"/>
    </row>
    <row r="675" ht="15.75" customHeight="1">
      <c r="AE675" s="57"/>
    </row>
    <row r="676" ht="15.75" customHeight="1">
      <c r="AE676" s="57"/>
    </row>
    <row r="677" ht="15.75" customHeight="1">
      <c r="AE677" s="57"/>
    </row>
    <row r="678" ht="15.75" customHeight="1">
      <c r="AE678" s="57"/>
    </row>
    <row r="679" ht="15.75" customHeight="1">
      <c r="AE679" s="57"/>
    </row>
    <row r="680" ht="15.75" customHeight="1">
      <c r="AE680" s="57"/>
    </row>
    <row r="681" ht="15.75" customHeight="1">
      <c r="AE681" s="57"/>
    </row>
    <row r="682" ht="15.75" customHeight="1">
      <c r="AE682" s="57"/>
    </row>
    <row r="683" ht="15.75" customHeight="1">
      <c r="AE683" s="57"/>
    </row>
    <row r="684" ht="15.75" customHeight="1">
      <c r="AE684" s="57"/>
    </row>
    <row r="685" ht="15.75" customHeight="1">
      <c r="AE685" s="57"/>
    </row>
    <row r="686" ht="15.75" customHeight="1">
      <c r="AE686" s="57"/>
    </row>
    <row r="687" ht="15.75" customHeight="1">
      <c r="AE687" s="57"/>
    </row>
    <row r="688" ht="15.75" customHeight="1">
      <c r="AE688" s="57"/>
    </row>
    <row r="689" ht="15.75" customHeight="1">
      <c r="AE689" s="57"/>
    </row>
    <row r="690" ht="15.75" customHeight="1">
      <c r="AE690" s="57"/>
    </row>
    <row r="691" ht="15.75" customHeight="1">
      <c r="AE691" s="57"/>
    </row>
    <row r="692" ht="15.75" customHeight="1">
      <c r="AE692" s="57"/>
    </row>
    <row r="693" ht="15.75" customHeight="1">
      <c r="AE693" s="57"/>
    </row>
    <row r="694" ht="15.75" customHeight="1">
      <c r="AE694" s="57"/>
    </row>
    <row r="695" ht="15.75" customHeight="1">
      <c r="AE695" s="57"/>
    </row>
    <row r="696" ht="15.75" customHeight="1">
      <c r="AE696" s="57"/>
    </row>
    <row r="697" ht="15.75" customHeight="1">
      <c r="AE697" s="57"/>
    </row>
    <row r="698" ht="15.75" customHeight="1">
      <c r="AE698" s="57"/>
    </row>
    <row r="699" ht="15.75" customHeight="1">
      <c r="AE699" s="57"/>
    </row>
    <row r="700" ht="15.75" customHeight="1">
      <c r="AE700" s="57"/>
    </row>
    <row r="701" ht="15.75" customHeight="1">
      <c r="AE701" s="57"/>
    </row>
    <row r="702" ht="15.75" customHeight="1">
      <c r="AE702" s="57"/>
    </row>
    <row r="703" ht="15.75" customHeight="1">
      <c r="AE703" s="57"/>
    </row>
    <row r="704" ht="15.75" customHeight="1">
      <c r="AE704" s="57"/>
    </row>
    <row r="705" ht="15.75" customHeight="1">
      <c r="AE705" s="57"/>
    </row>
    <row r="706" ht="15.75" customHeight="1">
      <c r="AE706" s="57"/>
    </row>
    <row r="707" ht="15.75" customHeight="1">
      <c r="AE707" s="57"/>
    </row>
    <row r="708" ht="15.75" customHeight="1">
      <c r="AE708" s="57"/>
    </row>
    <row r="709" ht="15.75" customHeight="1">
      <c r="AE709" s="57"/>
    </row>
    <row r="710" ht="15.75" customHeight="1">
      <c r="AE710" s="57"/>
    </row>
    <row r="711" ht="15.75" customHeight="1">
      <c r="AE711" s="57"/>
    </row>
    <row r="712" ht="15.75" customHeight="1">
      <c r="AE712" s="57"/>
    </row>
    <row r="713" ht="15.75" customHeight="1">
      <c r="AE713" s="57"/>
    </row>
    <row r="714" ht="15.75" customHeight="1">
      <c r="AE714" s="57"/>
    </row>
    <row r="715" ht="15.75" customHeight="1">
      <c r="AE715" s="57"/>
    </row>
    <row r="716" ht="15.75" customHeight="1">
      <c r="AE716" s="57"/>
    </row>
    <row r="717" ht="15.75" customHeight="1">
      <c r="AE717" s="57"/>
    </row>
    <row r="718" ht="15.75" customHeight="1">
      <c r="AE718" s="57"/>
    </row>
    <row r="719" ht="15.75" customHeight="1">
      <c r="AE719" s="57"/>
    </row>
    <row r="720" ht="15.75" customHeight="1">
      <c r="AE720" s="57"/>
    </row>
    <row r="721" ht="15.75" customHeight="1">
      <c r="AE721" s="57"/>
    </row>
    <row r="722" ht="15.75" customHeight="1">
      <c r="AE722" s="57"/>
    </row>
    <row r="723" ht="15.75" customHeight="1">
      <c r="AE723" s="57"/>
    </row>
    <row r="724" ht="15.75" customHeight="1">
      <c r="AE724" s="57"/>
    </row>
    <row r="725" ht="15.75" customHeight="1">
      <c r="AE725" s="57"/>
    </row>
    <row r="726" ht="15.75" customHeight="1">
      <c r="AE726" s="57"/>
    </row>
    <row r="727" ht="15.75" customHeight="1">
      <c r="AE727" s="57"/>
    </row>
    <row r="728" ht="15.75" customHeight="1">
      <c r="AE728" s="57"/>
    </row>
    <row r="729" ht="15.75" customHeight="1">
      <c r="AE729" s="57"/>
    </row>
    <row r="730" ht="15.75" customHeight="1">
      <c r="AE730" s="57"/>
    </row>
    <row r="731" ht="15.75" customHeight="1">
      <c r="AE731" s="57"/>
    </row>
    <row r="732" ht="15.75" customHeight="1">
      <c r="AE732" s="57"/>
    </row>
    <row r="733" ht="15.75" customHeight="1">
      <c r="AE733" s="57"/>
    </row>
    <row r="734" ht="15.75" customHeight="1">
      <c r="AE734" s="57"/>
    </row>
    <row r="735" ht="15.75" customHeight="1">
      <c r="AE735" s="57"/>
    </row>
    <row r="736" ht="15.75" customHeight="1">
      <c r="AE736" s="57"/>
    </row>
    <row r="737" ht="15.75" customHeight="1">
      <c r="AE737" s="57"/>
    </row>
    <row r="738" ht="15.75" customHeight="1">
      <c r="AE738" s="57"/>
    </row>
    <row r="739" ht="15.75" customHeight="1">
      <c r="AE739" s="57"/>
    </row>
    <row r="740" ht="15.75" customHeight="1">
      <c r="AE740" s="57"/>
    </row>
    <row r="741" ht="15.75" customHeight="1">
      <c r="AE741" s="57"/>
    </row>
    <row r="742" ht="15.75" customHeight="1">
      <c r="AE742" s="57"/>
    </row>
    <row r="743" ht="15.75" customHeight="1">
      <c r="AE743" s="57"/>
    </row>
    <row r="744" ht="15.75" customHeight="1">
      <c r="AE744" s="57"/>
    </row>
    <row r="745" ht="15.75" customHeight="1">
      <c r="AE745" s="57"/>
    </row>
    <row r="746" ht="15.75" customHeight="1">
      <c r="AE746" s="57"/>
    </row>
    <row r="747" ht="15.75" customHeight="1">
      <c r="AE747" s="57"/>
    </row>
    <row r="748" ht="15.75" customHeight="1">
      <c r="AE748" s="57"/>
    </row>
    <row r="749" ht="15.75" customHeight="1">
      <c r="AE749" s="57"/>
    </row>
    <row r="750" ht="15.75" customHeight="1">
      <c r="AE750" s="57"/>
    </row>
    <row r="751" ht="15.75" customHeight="1">
      <c r="AE751" s="57"/>
    </row>
    <row r="752" ht="15.75" customHeight="1">
      <c r="AE752" s="57"/>
    </row>
    <row r="753" ht="15.75" customHeight="1">
      <c r="AE753" s="57"/>
    </row>
    <row r="754" ht="15.75" customHeight="1">
      <c r="AE754" s="57"/>
    </row>
    <row r="755" ht="15.75" customHeight="1">
      <c r="AE755" s="57"/>
    </row>
    <row r="756" ht="15.75" customHeight="1">
      <c r="AE756" s="57"/>
    </row>
    <row r="757" ht="15.75" customHeight="1">
      <c r="AE757" s="57"/>
    </row>
    <row r="758" ht="15.75" customHeight="1">
      <c r="AE758" s="57"/>
    </row>
    <row r="759" ht="15.75" customHeight="1">
      <c r="AE759" s="57"/>
    </row>
    <row r="760" ht="15.75" customHeight="1">
      <c r="AE760" s="57"/>
    </row>
    <row r="761" ht="15.75" customHeight="1">
      <c r="AE761" s="57"/>
    </row>
    <row r="762" ht="15.75" customHeight="1">
      <c r="AE762" s="57"/>
    </row>
    <row r="763" ht="15.75" customHeight="1">
      <c r="AE763" s="57"/>
    </row>
    <row r="764" ht="15.75" customHeight="1">
      <c r="AE764" s="57"/>
    </row>
    <row r="765" ht="15.75" customHeight="1">
      <c r="AE765" s="57"/>
    </row>
    <row r="766" ht="15.75" customHeight="1">
      <c r="AE766" s="57"/>
    </row>
    <row r="767" ht="15.75" customHeight="1">
      <c r="AE767" s="57"/>
    </row>
    <row r="768" ht="15.75" customHeight="1">
      <c r="AE768" s="57"/>
    </row>
    <row r="769" ht="15.75" customHeight="1">
      <c r="AE769" s="57"/>
    </row>
    <row r="770" ht="15.75" customHeight="1">
      <c r="AE770" s="57"/>
    </row>
    <row r="771" ht="15.75" customHeight="1">
      <c r="AE771" s="57"/>
    </row>
    <row r="772" ht="15.75" customHeight="1">
      <c r="AE772" s="57"/>
    </row>
    <row r="773" ht="15.75" customHeight="1">
      <c r="AE773" s="57"/>
    </row>
    <row r="774" ht="15.75" customHeight="1">
      <c r="AE774" s="57"/>
    </row>
    <row r="775" ht="15.75" customHeight="1">
      <c r="AE775" s="57"/>
    </row>
    <row r="776" ht="15.75" customHeight="1">
      <c r="AE776" s="57"/>
    </row>
    <row r="777" ht="15.75" customHeight="1">
      <c r="AE777" s="57"/>
    </row>
    <row r="778" ht="15.75" customHeight="1">
      <c r="AE778" s="57"/>
    </row>
    <row r="779" ht="15.75" customHeight="1">
      <c r="AE779" s="57"/>
    </row>
    <row r="780" ht="15.75" customHeight="1">
      <c r="AE780" s="57"/>
    </row>
    <row r="781" ht="15.75" customHeight="1">
      <c r="AE781" s="57"/>
    </row>
    <row r="782" ht="15.75" customHeight="1">
      <c r="AE782" s="57"/>
    </row>
    <row r="783" ht="15.75" customHeight="1">
      <c r="AE783" s="57"/>
    </row>
    <row r="784" ht="15.75" customHeight="1">
      <c r="AE784" s="57"/>
    </row>
    <row r="785" ht="15.75" customHeight="1">
      <c r="AE785" s="57"/>
    </row>
    <row r="786" ht="15.75" customHeight="1">
      <c r="AE786" s="57"/>
    </row>
    <row r="787" ht="15.75" customHeight="1">
      <c r="AE787" s="57"/>
    </row>
    <row r="788" ht="15.75" customHeight="1">
      <c r="AE788" s="57"/>
    </row>
    <row r="789" ht="15.75" customHeight="1">
      <c r="AE789" s="57"/>
    </row>
    <row r="790" ht="15.75" customHeight="1">
      <c r="AE790" s="57"/>
    </row>
    <row r="791" ht="15.75" customHeight="1">
      <c r="AE791" s="57"/>
    </row>
    <row r="792" ht="15.75" customHeight="1">
      <c r="AE792" s="57"/>
    </row>
    <row r="793" ht="15.75" customHeight="1">
      <c r="AE793" s="57"/>
    </row>
    <row r="794" ht="15.75" customHeight="1">
      <c r="AE794" s="57"/>
    </row>
    <row r="795" ht="15.75" customHeight="1">
      <c r="AE795" s="57"/>
    </row>
    <row r="796" ht="15.75" customHeight="1">
      <c r="AE796" s="57"/>
    </row>
    <row r="797" ht="15.75" customHeight="1">
      <c r="AE797" s="57"/>
    </row>
    <row r="798" ht="15.75" customHeight="1">
      <c r="AE798" s="57"/>
    </row>
    <row r="799" ht="15.75" customHeight="1">
      <c r="AE799" s="57"/>
    </row>
    <row r="800" ht="15.75" customHeight="1">
      <c r="AE800" s="57"/>
    </row>
    <row r="801" ht="15.75" customHeight="1">
      <c r="AE801" s="57"/>
    </row>
    <row r="802" ht="15.75" customHeight="1">
      <c r="AE802" s="57"/>
    </row>
    <row r="803" ht="15.75" customHeight="1">
      <c r="AE803" s="57"/>
    </row>
    <row r="804" ht="15.75" customHeight="1">
      <c r="AE804" s="57"/>
    </row>
    <row r="805" ht="15.75" customHeight="1">
      <c r="AE805" s="57"/>
    </row>
    <row r="806" ht="15.75" customHeight="1">
      <c r="AE806" s="57"/>
    </row>
    <row r="807" ht="15.75" customHeight="1">
      <c r="AE807" s="57"/>
    </row>
    <row r="808" ht="15.75" customHeight="1">
      <c r="AE808" s="57"/>
    </row>
    <row r="809" ht="15.75" customHeight="1">
      <c r="AE809" s="57"/>
    </row>
    <row r="810" ht="15.75" customHeight="1">
      <c r="AE810" s="57"/>
    </row>
    <row r="811" ht="15.75" customHeight="1">
      <c r="AE811" s="57"/>
    </row>
    <row r="812" ht="15.75" customHeight="1">
      <c r="AE812" s="57"/>
    </row>
    <row r="813" ht="15.75" customHeight="1">
      <c r="AE813" s="57"/>
    </row>
    <row r="814" ht="15.75" customHeight="1">
      <c r="AE814" s="57"/>
    </row>
    <row r="815" ht="15.75" customHeight="1">
      <c r="AE815" s="57"/>
    </row>
    <row r="816" ht="15.75" customHeight="1">
      <c r="AE816" s="57"/>
    </row>
    <row r="817" ht="15.75" customHeight="1">
      <c r="AE817" s="57"/>
    </row>
    <row r="818" ht="15.75" customHeight="1">
      <c r="AE818" s="57"/>
    </row>
    <row r="819" ht="15.75" customHeight="1">
      <c r="AE819" s="57"/>
    </row>
    <row r="820" ht="15.75" customHeight="1">
      <c r="AE820" s="57"/>
    </row>
    <row r="821" ht="15.75" customHeight="1">
      <c r="AE821" s="57"/>
    </row>
    <row r="822" ht="15.75" customHeight="1">
      <c r="AE822" s="57"/>
    </row>
    <row r="823" ht="15.75" customHeight="1">
      <c r="AE823" s="57"/>
    </row>
    <row r="824" ht="15.75" customHeight="1">
      <c r="AE824" s="57"/>
    </row>
    <row r="825" ht="15.75" customHeight="1">
      <c r="AE825" s="57"/>
    </row>
    <row r="826" ht="15.75" customHeight="1">
      <c r="AE826" s="57"/>
    </row>
    <row r="827" ht="15.75" customHeight="1">
      <c r="AE827" s="57"/>
    </row>
    <row r="828" ht="15.75" customHeight="1">
      <c r="AE828" s="57"/>
    </row>
    <row r="829" ht="15.75" customHeight="1">
      <c r="AE829" s="57"/>
    </row>
    <row r="830" ht="15.75" customHeight="1">
      <c r="AE830" s="57"/>
    </row>
    <row r="831" ht="15.75" customHeight="1">
      <c r="AE831" s="57"/>
    </row>
    <row r="832" ht="15.75" customHeight="1">
      <c r="AE832" s="57"/>
    </row>
    <row r="833" ht="15.75" customHeight="1">
      <c r="AE833" s="57"/>
    </row>
    <row r="834" ht="15.75" customHeight="1">
      <c r="AE834" s="57"/>
    </row>
    <row r="835" ht="15.75" customHeight="1">
      <c r="AE835" s="57"/>
    </row>
    <row r="836" ht="15.75" customHeight="1">
      <c r="AE836" s="57"/>
    </row>
    <row r="837" ht="15.75" customHeight="1">
      <c r="AE837" s="57"/>
    </row>
    <row r="838" ht="15.75" customHeight="1">
      <c r="AE838" s="57"/>
    </row>
    <row r="839" ht="15.75" customHeight="1">
      <c r="AE839" s="57"/>
    </row>
    <row r="840" ht="15.75" customHeight="1">
      <c r="AE840" s="57"/>
    </row>
    <row r="841" ht="15.75" customHeight="1">
      <c r="AE841" s="57"/>
    </row>
    <row r="842" ht="15.75" customHeight="1">
      <c r="AE842" s="57"/>
    </row>
    <row r="843" ht="15.75" customHeight="1">
      <c r="AE843" s="57"/>
    </row>
    <row r="844" ht="15.75" customHeight="1">
      <c r="AE844" s="57"/>
    </row>
    <row r="845" ht="15.75" customHeight="1">
      <c r="AE845" s="57"/>
    </row>
    <row r="846" ht="15.75" customHeight="1">
      <c r="AE846" s="57"/>
    </row>
    <row r="847" ht="15.75" customHeight="1">
      <c r="AE847" s="57"/>
    </row>
    <row r="848" ht="15.75" customHeight="1">
      <c r="AE848" s="57"/>
    </row>
    <row r="849" ht="15.75" customHeight="1">
      <c r="AE849" s="57"/>
    </row>
    <row r="850" ht="15.75" customHeight="1">
      <c r="AE850" s="57"/>
    </row>
    <row r="851" ht="15.75" customHeight="1">
      <c r="AE851" s="57"/>
    </row>
    <row r="852" ht="15.75" customHeight="1">
      <c r="AE852" s="57"/>
    </row>
    <row r="853" ht="15.75" customHeight="1">
      <c r="AE853" s="57"/>
    </row>
    <row r="854" ht="15.75" customHeight="1">
      <c r="AE854" s="57"/>
    </row>
    <row r="855" ht="15.75" customHeight="1">
      <c r="AE855" s="57"/>
    </row>
    <row r="856" ht="15.75" customHeight="1">
      <c r="AE856" s="57"/>
    </row>
    <row r="857" ht="15.75" customHeight="1">
      <c r="AE857" s="57"/>
    </row>
    <row r="858" ht="15.75" customHeight="1">
      <c r="AE858" s="57"/>
    </row>
    <row r="859" ht="15.75" customHeight="1">
      <c r="AE859" s="57"/>
    </row>
    <row r="860" ht="15.75" customHeight="1">
      <c r="AE860" s="57"/>
    </row>
    <row r="861" ht="15.75" customHeight="1">
      <c r="AE861" s="57"/>
    </row>
    <row r="862" ht="15.75" customHeight="1">
      <c r="AE862" s="57"/>
    </row>
    <row r="863" ht="15.75" customHeight="1">
      <c r="AE863" s="57"/>
    </row>
    <row r="864" ht="15.75" customHeight="1">
      <c r="AE864" s="57"/>
    </row>
    <row r="865" ht="15.75" customHeight="1">
      <c r="AE865" s="57"/>
    </row>
    <row r="866" ht="15.75" customHeight="1">
      <c r="AE866" s="57"/>
    </row>
    <row r="867" ht="15.75" customHeight="1">
      <c r="AE867" s="57"/>
    </row>
    <row r="868" ht="15.75" customHeight="1">
      <c r="AE868" s="57"/>
    </row>
    <row r="869" ht="15.75" customHeight="1">
      <c r="AE869" s="57"/>
    </row>
    <row r="870" ht="15.75" customHeight="1">
      <c r="AE870" s="57"/>
    </row>
    <row r="871" ht="15.75" customHeight="1">
      <c r="AE871" s="57"/>
    </row>
    <row r="872" ht="15.75" customHeight="1">
      <c r="AE872" s="57"/>
    </row>
    <row r="873" ht="15.75" customHeight="1">
      <c r="AE873" s="57"/>
    </row>
    <row r="874" ht="15.75" customHeight="1">
      <c r="AE874" s="57"/>
    </row>
    <row r="875" ht="15.75" customHeight="1">
      <c r="AE875" s="57"/>
    </row>
    <row r="876" ht="15.75" customHeight="1">
      <c r="AE876" s="57"/>
    </row>
    <row r="877" ht="15.75" customHeight="1">
      <c r="AE877" s="57"/>
    </row>
    <row r="878" ht="15.75" customHeight="1">
      <c r="AE878" s="57"/>
    </row>
    <row r="879" ht="15.75" customHeight="1">
      <c r="AE879" s="57"/>
    </row>
    <row r="880" ht="15.75" customHeight="1">
      <c r="AE880" s="57"/>
    </row>
    <row r="881" ht="15.75" customHeight="1">
      <c r="AE881" s="57"/>
    </row>
    <row r="882" ht="15.75" customHeight="1">
      <c r="AE882" s="57"/>
    </row>
    <row r="883" ht="15.75" customHeight="1">
      <c r="AE883" s="57"/>
    </row>
    <row r="884" ht="15.75" customHeight="1">
      <c r="AE884" s="57"/>
    </row>
    <row r="885" ht="15.75" customHeight="1">
      <c r="AE885" s="57"/>
    </row>
    <row r="886" ht="15.75" customHeight="1">
      <c r="AE886" s="57"/>
    </row>
    <row r="887" ht="15.75" customHeight="1">
      <c r="AE887" s="57"/>
    </row>
    <row r="888" ht="15.75" customHeight="1">
      <c r="AE888" s="57"/>
    </row>
    <row r="889" ht="15.75" customHeight="1">
      <c r="AE889" s="57"/>
    </row>
    <row r="890" ht="15.75" customHeight="1">
      <c r="AE890" s="57"/>
    </row>
    <row r="891" ht="15.75" customHeight="1">
      <c r="AE891" s="57"/>
    </row>
    <row r="892" ht="15.75" customHeight="1">
      <c r="AE892" s="57"/>
    </row>
    <row r="893" ht="15.75" customHeight="1">
      <c r="AE893" s="57"/>
    </row>
    <row r="894" ht="15.75" customHeight="1">
      <c r="AE894" s="57"/>
    </row>
    <row r="895" ht="15.75" customHeight="1">
      <c r="AE895" s="57"/>
    </row>
    <row r="896" ht="15.75" customHeight="1">
      <c r="AE896" s="57"/>
    </row>
    <row r="897" ht="15.75" customHeight="1">
      <c r="AE897" s="57"/>
    </row>
    <row r="898" ht="15.75" customHeight="1">
      <c r="AE898" s="57"/>
    </row>
    <row r="899" ht="15.75" customHeight="1">
      <c r="AE899" s="57"/>
    </row>
    <row r="900" ht="15.75" customHeight="1">
      <c r="AE900" s="57"/>
    </row>
    <row r="901" ht="15.75" customHeight="1">
      <c r="AE901" s="57"/>
    </row>
    <row r="902" ht="15.75" customHeight="1">
      <c r="AE902" s="57"/>
    </row>
    <row r="903" ht="15.75" customHeight="1">
      <c r="AE903" s="57"/>
    </row>
    <row r="904" ht="15.75" customHeight="1">
      <c r="AE904" s="57"/>
    </row>
    <row r="905" ht="15.75" customHeight="1">
      <c r="AE905" s="57"/>
    </row>
    <row r="906" ht="15.75" customHeight="1">
      <c r="AE906" s="57"/>
    </row>
    <row r="907" ht="15.75" customHeight="1">
      <c r="AE907" s="57"/>
    </row>
    <row r="908" ht="15.75" customHeight="1">
      <c r="AE908" s="57"/>
    </row>
    <row r="909" ht="15.75" customHeight="1">
      <c r="AE909" s="57"/>
    </row>
    <row r="910" ht="15.75" customHeight="1">
      <c r="AE910" s="57"/>
    </row>
    <row r="911" ht="15.75" customHeight="1">
      <c r="AE911" s="57"/>
    </row>
    <row r="912" ht="15.75" customHeight="1">
      <c r="AE912" s="57"/>
    </row>
    <row r="913" ht="15.75" customHeight="1">
      <c r="AE913" s="57"/>
    </row>
    <row r="914" ht="15.75" customHeight="1">
      <c r="AE914" s="57"/>
    </row>
    <row r="915" ht="15.75" customHeight="1">
      <c r="AE915" s="57"/>
    </row>
    <row r="916" ht="15.75" customHeight="1">
      <c r="AE916" s="57"/>
    </row>
    <row r="917" ht="15.75" customHeight="1">
      <c r="AE917" s="57"/>
    </row>
    <row r="918" ht="15.75" customHeight="1">
      <c r="AE918" s="57"/>
    </row>
    <row r="919" ht="15.75" customHeight="1">
      <c r="AE919" s="57"/>
    </row>
    <row r="920" ht="15.75" customHeight="1">
      <c r="AE920" s="57"/>
    </row>
    <row r="921" ht="15.75" customHeight="1">
      <c r="AE921" s="57"/>
    </row>
    <row r="922" ht="15.75" customHeight="1">
      <c r="AE922" s="57"/>
    </row>
    <row r="923" ht="15.75" customHeight="1">
      <c r="AE923" s="57"/>
    </row>
    <row r="924" ht="15.75" customHeight="1">
      <c r="AE924" s="57"/>
    </row>
    <row r="925" ht="15.75" customHeight="1">
      <c r="AE925" s="57"/>
    </row>
    <row r="926" ht="15.75" customHeight="1">
      <c r="AE926" s="57"/>
    </row>
    <row r="927" ht="15.75" customHeight="1">
      <c r="AE927" s="57"/>
    </row>
    <row r="928" ht="15.75" customHeight="1">
      <c r="AE928" s="57"/>
    </row>
    <row r="929" ht="15.75" customHeight="1">
      <c r="AE929" s="57"/>
    </row>
    <row r="930" ht="15.75" customHeight="1">
      <c r="AE930" s="57"/>
    </row>
    <row r="931" ht="15.75" customHeight="1">
      <c r="AE931" s="57"/>
    </row>
    <row r="932" ht="15.75" customHeight="1">
      <c r="AE932" s="57"/>
    </row>
    <row r="933" ht="15.75" customHeight="1">
      <c r="AE933" s="57"/>
    </row>
    <row r="934" ht="15.75" customHeight="1">
      <c r="AE934" s="57"/>
    </row>
    <row r="935" ht="15.75" customHeight="1">
      <c r="AE935" s="57"/>
    </row>
    <row r="936" ht="15.75" customHeight="1">
      <c r="AE936" s="57"/>
    </row>
    <row r="937" ht="15.75" customHeight="1">
      <c r="AE937" s="57"/>
    </row>
    <row r="938" ht="15.75" customHeight="1">
      <c r="AE938" s="57"/>
    </row>
    <row r="939" ht="15.75" customHeight="1">
      <c r="AE939" s="57"/>
    </row>
    <row r="940" ht="15.75" customHeight="1">
      <c r="AE940" s="57"/>
    </row>
    <row r="941" ht="15.75" customHeight="1">
      <c r="AE941" s="57"/>
    </row>
    <row r="942" ht="15.75" customHeight="1">
      <c r="AE942" s="57"/>
    </row>
    <row r="943" ht="15.75" customHeight="1">
      <c r="AE943" s="57"/>
    </row>
    <row r="944" ht="15.75" customHeight="1">
      <c r="AE944" s="57"/>
    </row>
    <row r="945" ht="15.75" customHeight="1">
      <c r="AE945" s="57"/>
    </row>
    <row r="946" ht="15.75" customHeight="1">
      <c r="AE946" s="57"/>
    </row>
    <row r="947" ht="15.75" customHeight="1">
      <c r="AE947" s="57"/>
    </row>
    <row r="948" ht="15.75" customHeight="1">
      <c r="AE948" s="57"/>
    </row>
    <row r="949" ht="15.75" customHeight="1">
      <c r="AE949" s="57"/>
    </row>
    <row r="950" ht="15.75" customHeight="1">
      <c r="AE950" s="57"/>
    </row>
    <row r="951" ht="15.75" customHeight="1">
      <c r="AE951" s="57"/>
    </row>
    <row r="952" ht="15.75" customHeight="1">
      <c r="AE952" s="57"/>
    </row>
    <row r="953" ht="15.75" customHeight="1">
      <c r="AE953" s="57"/>
    </row>
    <row r="954" ht="15.75" customHeight="1">
      <c r="AE954" s="57"/>
    </row>
    <row r="955" ht="15.75" customHeight="1">
      <c r="AE955" s="57"/>
    </row>
    <row r="956" ht="15.75" customHeight="1">
      <c r="AE956" s="57"/>
    </row>
    <row r="957" ht="15.75" customHeight="1">
      <c r="AE957" s="57"/>
    </row>
    <row r="958" ht="15.75" customHeight="1">
      <c r="AE958" s="57"/>
    </row>
    <row r="959" ht="15.75" customHeight="1">
      <c r="AE959" s="57"/>
    </row>
    <row r="960" ht="15.75" customHeight="1">
      <c r="AE960" s="57"/>
    </row>
    <row r="961" ht="15.75" customHeight="1">
      <c r="AE961" s="57"/>
    </row>
    <row r="962" ht="15.75" customHeight="1">
      <c r="AE962" s="57"/>
    </row>
    <row r="963" ht="15.75" customHeight="1">
      <c r="AE963" s="57"/>
    </row>
    <row r="964" ht="15.75" customHeight="1">
      <c r="AE964" s="57"/>
    </row>
    <row r="965" ht="15.75" customHeight="1">
      <c r="AE965" s="57"/>
    </row>
    <row r="966" ht="15.75" customHeight="1">
      <c r="AE966" s="57"/>
    </row>
    <row r="967" ht="15.75" customHeight="1">
      <c r="AE967" s="57"/>
    </row>
    <row r="968" ht="15.75" customHeight="1">
      <c r="AE968" s="57"/>
    </row>
    <row r="969" ht="15.75" customHeight="1">
      <c r="AE969" s="57"/>
    </row>
    <row r="970" ht="15.75" customHeight="1">
      <c r="AE970" s="57"/>
    </row>
    <row r="971" ht="15.75" customHeight="1">
      <c r="AE971" s="57"/>
    </row>
    <row r="972" ht="15.75" customHeight="1">
      <c r="AE972" s="57"/>
    </row>
    <row r="973" ht="15.75" customHeight="1">
      <c r="AE973" s="57"/>
    </row>
    <row r="974" ht="15.75" customHeight="1">
      <c r="AE974" s="57"/>
    </row>
    <row r="975" ht="15.75" customHeight="1">
      <c r="AE975" s="57"/>
    </row>
    <row r="976" ht="15.75" customHeight="1">
      <c r="AE976" s="57"/>
    </row>
    <row r="977" ht="15.75" customHeight="1">
      <c r="AE977" s="57"/>
    </row>
    <row r="978" ht="15.75" customHeight="1">
      <c r="AE978" s="57"/>
    </row>
    <row r="979" ht="15.75" customHeight="1">
      <c r="AE979" s="57"/>
    </row>
    <row r="980" ht="15.75" customHeight="1">
      <c r="AE980" s="57"/>
    </row>
    <row r="981" ht="15.75" customHeight="1">
      <c r="AE981" s="57"/>
    </row>
    <row r="982" ht="15.75" customHeight="1">
      <c r="AE982" s="57"/>
    </row>
    <row r="983" ht="15.75" customHeight="1">
      <c r="AE983" s="57"/>
    </row>
    <row r="984" ht="15.75" customHeight="1">
      <c r="AE984" s="57"/>
    </row>
    <row r="985" ht="15.75" customHeight="1">
      <c r="AE985" s="57"/>
    </row>
    <row r="986" ht="15.75" customHeight="1">
      <c r="AE986" s="57"/>
    </row>
    <row r="987" ht="15.75" customHeight="1">
      <c r="AE987" s="57"/>
    </row>
    <row r="988" ht="15.75" customHeight="1">
      <c r="AE988" s="57"/>
    </row>
    <row r="989" ht="15.75" customHeight="1">
      <c r="AE989" s="57"/>
    </row>
    <row r="990" ht="15.75" customHeight="1">
      <c r="AE990" s="57"/>
    </row>
    <row r="991" ht="15.75" customHeight="1">
      <c r="AE991" s="57"/>
    </row>
    <row r="992" ht="15.75" customHeight="1">
      <c r="AE992" s="57"/>
    </row>
    <row r="993" ht="15.75" customHeight="1">
      <c r="AE993" s="57"/>
    </row>
    <row r="994" ht="15.75" customHeight="1">
      <c r="AE994" s="57"/>
    </row>
    <row r="995" ht="15.75" customHeight="1">
      <c r="AE995" s="57"/>
    </row>
    <row r="996" ht="15.75" customHeight="1">
      <c r="AE996" s="57"/>
    </row>
    <row r="997" ht="15.75" customHeight="1">
      <c r="AE997" s="57"/>
    </row>
    <row r="998" ht="15.75" customHeight="1">
      <c r="AE998" s="57"/>
    </row>
    <row r="999" ht="15.75" customHeight="1">
      <c r="AE999" s="57"/>
    </row>
    <row r="1000" ht="15.75" customHeight="1">
      <c r="AE1000" s="57"/>
    </row>
  </sheetData>
  <conditionalFormatting sqref="A2:A1000">
    <cfRule type="expression" dxfId="0" priority="1">
      <formula>COUNTIF($A$2:$A$81,A2)&gt;1</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14.29"/>
    <col customWidth="1" min="3" max="3" width="8.71"/>
    <col customWidth="1" min="4" max="4" width="14.0"/>
    <col customWidth="1" min="5" max="5" width="17.0"/>
    <col customWidth="1" min="6" max="6" width="8.71"/>
    <col customWidth="1" min="7" max="7" width="14.71"/>
    <col customWidth="1" min="8" max="8" width="15.0"/>
    <col customWidth="1" min="9" max="9" width="8.71"/>
    <col customWidth="1" min="10" max="10" width="16.86"/>
    <col customWidth="1" min="11" max="11" width="14.71"/>
    <col customWidth="1" min="12" max="12" width="8.71"/>
  </cols>
  <sheetData>
    <row r="1" ht="14.25" customHeight="1">
      <c r="A1" s="5" t="s">
        <v>1</v>
      </c>
      <c r="B1" s="5" t="s">
        <v>2</v>
      </c>
      <c r="C1" s="6"/>
      <c r="D1" s="8" t="s">
        <v>4</v>
      </c>
      <c r="E1" s="8" t="s">
        <v>7</v>
      </c>
      <c r="F1" s="6"/>
      <c r="G1" s="5" t="s">
        <v>4</v>
      </c>
      <c r="H1" s="5" t="s">
        <v>7</v>
      </c>
      <c r="I1" s="6"/>
      <c r="J1" s="5" t="s">
        <v>4</v>
      </c>
      <c r="K1" s="5" t="s">
        <v>7</v>
      </c>
      <c r="L1" s="6"/>
    </row>
    <row r="2" ht="14.25" customHeight="1">
      <c r="A2" s="11" t="s">
        <v>13</v>
      </c>
      <c r="B2" s="11" t="s">
        <v>16</v>
      </c>
      <c r="D2" s="13" t="s">
        <v>19</v>
      </c>
      <c r="E2" s="13" t="s">
        <v>22</v>
      </c>
      <c r="G2" s="11" t="s">
        <v>24</v>
      </c>
      <c r="H2" s="11" t="s">
        <v>24</v>
      </c>
      <c r="J2" s="11" t="s">
        <v>26</v>
      </c>
      <c r="K2" s="11">
        <v>3500.0</v>
      </c>
    </row>
    <row r="3" ht="14.25" customHeight="1">
      <c r="A3" s="11" t="s">
        <v>16</v>
      </c>
      <c r="B3" s="11" t="s">
        <v>16</v>
      </c>
      <c r="D3" s="13" t="s">
        <v>31</v>
      </c>
      <c r="E3" s="13" t="s">
        <v>31</v>
      </c>
      <c r="G3" s="11" t="s">
        <v>33</v>
      </c>
      <c r="H3" s="11" t="s">
        <v>24</v>
      </c>
      <c r="J3" s="11" t="s">
        <v>34</v>
      </c>
      <c r="K3" s="11">
        <v>120.0</v>
      </c>
    </row>
    <row r="4" ht="14.25" customHeight="1">
      <c r="A4" s="11" t="s">
        <v>37</v>
      </c>
      <c r="B4" s="11" t="s">
        <v>38</v>
      </c>
      <c r="D4" s="13" t="s">
        <v>39</v>
      </c>
      <c r="E4" s="13" t="s">
        <v>41</v>
      </c>
      <c r="G4" s="11" t="s">
        <v>42</v>
      </c>
      <c r="H4" s="11" t="s">
        <v>24</v>
      </c>
      <c r="J4" s="11" t="s">
        <v>44</v>
      </c>
      <c r="K4" s="11">
        <v>950.0</v>
      </c>
    </row>
    <row r="5" ht="14.25" customHeight="1">
      <c r="A5" s="11" t="s">
        <v>38</v>
      </c>
      <c r="B5" s="11" t="s">
        <v>38</v>
      </c>
      <c r="D5" s="13" t="s">
        <v>48</v>
      </c>
      <c r="E5" s="13" t="s">
        <v>41</v>
      </c>
      <c r="G5" s="11" t="s">
        <v>49</v>
      </c>
      <c r="H5" s="11" t="s">
        <v>49</v>
      </c>
      <c r="J5" s="16" t="s">
        <v>51</v>
      </c>
      <c r="K5" s="16">
        <v>800.0</v>
      </c>
    </row>
    <row r="6" ht="14.25" customHeight="1">
      <c r="A6" s="11" t="s">
        <v>53</v>
      </c>
      <c r="B6" s="11" t="s">
        <v>53</v>
      </c>
      <c r="D6" s="13" t="s">
        <v>54</v>
      </c>
      <c r="E6" s="13" t="s">
        <v>22</v>
      </c>
      <c r="G6" s="11" t="s">
        <v>55</v>
      </c>
      <c r="H6" s="11" t="s">
        <v>49</v>
      </c>
      <c r="J6" s="18"/>
      <c r="K6" s="18"/>
    </row>
    <row r="7" ht="14.25" customHeight="1">
      <c r="A7" s="11" t="s">
        <v>57</v>
      </c>
      <c r="B7" s="11" t="s">
        <v>57</v>
      </c>
      <c r="D7" s="13" t="s">
        <v>58</v>
      </c>
      <c r="E7" s="13" t="s">
        <v>41</v>
      </c>
      <c r="J7" s="18"/>
      <c r="K7" s="18"/>
    </row>
    <row r="8" ht="14.25" customHeight="1">
      <c r="A8" s="21"/>
      <c r="B8" s="21"/>
      <c r="D8" s="13" t="s">
        <v>41</v>
      </c>
      <c r="E8" s="13" t="s">
        <v>41</v>
      </c>
    </row>
    <row r="9" ht="14.25" customHeight="1">
      <c r="D9" s="13" t="s">
        <v>22</v>
      </c>
      <c r="E9" s="13" t="s">
        <v>22</v>
      </c>
    </row>
    <row r="10" ht="14.25" customHeight="1">
      <c r="D10" s="13" t="s">
        <v>54</v>
      </c>
      <c r="E10" s="13" t="s">
        <v>22</v>
      </c>
    </row>
    <row r="11" ht="14.25" customHeight="1">
      <c r="D11" s="13" t="s">
        <v>60</v>
      </c>
      <c r="E11" s="13" t="s">
        <v>31</v>
      </c>
    </row>
    <row r="12" ht="14.25" customHeight="1">
      <c r="D12" s="23"/>
      <c r="E12" s="23"/>
    </row>
    <row r="13" ht="14.25" customHeight="1">
      <c r="D13" s="23"/>
      <c r="E13" s="25"/>
    </row>
    <row r="14" ht="14.25" customHeight="1">
      <c r="D14" s="23"/>
      <c r="E14" s="25"/>
    </row>
    <row r="15" ht="14.25" customHeight="1">
      <c r="D15" s="23"/>
      <c r="E15" s="25"/>
    </row>
    <row r="16" ht="14.25" customHeight="1">
      <c r="D16" s="23"/>
      <c r="E16" s="25"/>
    </row>
    <row r="17" ht="14.25" customHeight="1">
      <c r="D17" s="23"/>
      <c r="E17" s="25"/>
    </row>
    <row r="18" ht="14.25" customHeight="1">
      <c r="D18" s="23"/>
      <c r="E18" s="25"/>
    </row>
    <row r="19" ht="14.25" customHeight="1">
      <c r="D19" s="23"/>
      <c r="E19" s="25"/>
    </row>
    <row r="20" ht="14.25" customHeight="1">
      <c r="D20" s="23"/>
      <c r="E20" s="25"/>
    </row>
    <row r="21" ht="14.25" customHeight="1">
      <c r="D21" s="23"/>
      <c r="E21" s="25"/>
    </row>
    <row r="22" ht="14.25" customHeight="1">
      <c r="D22" s="23"/>
      <c r="E22" s="25"/>
    </row>
    <row r="23" ht="14.25" customHeight="1">
      <c r="D23" s="23"/>
      <c r="E23" s="25"/>
    </row>
    <row r="24" ht="14.25" customHeight="1">
      <c r="D24" s="23"/>
      <c r="E24" s="25"/>
    </row>
    <row r="25" ht="14.25" customHeight="1">
      <c r="D25" s="23"/>
      <c r="E25" s="25"/>
    </row>
    <row r="26" ht="14.25" customHeight="1">
      <c r="D26" s="23"/>
      <c r="E26" s="25"/>
    </row>
    <row r="27" ht="14.25" customHeight="1">
      <c r="D27" s="23"/>
      <c r="E27" s="25"/>
    </row>
    <row r="28" ht="14.25" customHeight="1">
      <c r="D28" s="23"/>
      <c r="E28" s="25"/>
    </row>
    <row r="29" ht="14.25" customHeight="1">
      <c r="D29" s="25"/>
      <c r="E29" s="25"/>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14.71"/>
    <col customWidth="1" min="3" max="3" width="12.0"/>
    <col customWidth="1" min="4" max="4" width="16.0"/>
    <col customWidth="1" min="5" max="5" width="11.0"/>
    <col customWidth="1" min="6" max="6" width="14.57"/>
    <col customWidth="1" min="7" max="7" width="10.43"/>
    <col customWidth="1" min="8" max="8" width="10.0"/>
    <col customWidth="1" min="9" max="9" width="9.57"/>
    <col customWidth="1" min="10" max="10" width="9.29"/>
    <col customWidth="1" min="11" max="11" width="16.71"/>
    <col customWidth="1" min="12" max="12" width="12.14"/>
    <col customWidth="1" min="13" max="14" width="8.71"/>
  </cols>
  <sheetData>
    <row r="1" ht="14.25" customHeight="1">
      <c r="A1" s="47" t="s">
        <v>3</v>
      </c>
      <c r="B1" s="47" t="s">
        <v>8</v>
      </c>
      <c r="C1" s="47" t="s">
        <v>10</v>
      </c>
      <c r="D1" s="47" t="s">
        <v>21</v>
      </c>
      <c r="E1" s="47" t="s">
        <v>25</v>
      </c>
      <c r="F1" s="47" t="s">
        <v>28</v>
      </c>
      <c r="G1" s="47" t="s">
        <v>29</v>
      </c>
      <c r="H1" s="47" t="s">
        <v>32</v>
      </c>
      <c r="I1" s="47" t="s">
        <v>36</v>
      </c>
      <c r="J1" s="47" t="s">
        <v>45</v>
      </c>
      <c r="K1" s="47" t="s">
        <v>1</v>
      </c>
      <c r="L1" s="47" t="s">
        <v>50</v>
      </c>
      <c r="M1" s="1"/>
      <c r="N1" s="1"/>
    </row>
    <row r="2" ht="14.25" customHeight="1">
      <c r="A2" s="49">
        <v>1000.0</v>
      </c>
      <c r="B2" s="49" t="s">
        <v>65</v>
      </c>
      <c r="C2" s="49" t="s">
        <v>66</v>
      </c>
      <c r="D2" s="49" t="s">
        <v>68</v>
      </c>
      <c r="E2" s="49" t="s">
        <v>19</v>
      </c>
      <c r="F2" s="49" t="s">
        <v>44</v>
      </c>
      <c r="G2" s="49" t="s">
        <v>42</v>
      </c>
      <c r="H2" s="49">
        <v>5.0</v>
      </c>
      <c r="I2" s="49">
        <v>950.0</v>
      </c>
      <c r="J2" s="49">
        <v>120.0</v>
      </c>
      <c r="K2" s="49" t="s">
        <v>38</v>
      </c>
      <c r="L2" s="49" t="s">
        <v>78</v>
      </c>
    </row>
    <row r="3" ht="14.25" customHeight="1">
      <c r="A3" s="49">
        <v>1001.0</v>
      </c>
      <c r="B3" s="49" t="s">
        <v>84</v>
      </c>
      <c r="C3" s="49" t="s">
        <v>85</v>
      </c>
      <c r="D3" s="49" t="s">
        <v>86</v>
      </c>
      <c r="E3" s="49" t="s">
        <v>31</v>
      </c>
      <c r="F3" s="49" t="s">
        <v>34</v>
      </c>
      <c r="G3" s="49" t="s">
        <v>33</v>
      </c>
      <c r="H3" s="49">
        <v>-1.0</v>
      </c>
      <c r="I3" s="49">
        <v>120.0</v>
      </c>
      <c r="J3" s="49">
        <v>120.0</v>
      </c>
      <c r="K3" s="49" t="s">
        <v>37</v>
      </c>
      <c r="L3" s="49" t="s">
        <v>80</v>
      </c>
    </row>
    <row r="4" ht="14.25" customHeight="1">
      <c r="A4" s="49">
        <v>1002.0</v>
      </c>
      <c r="B4" s="49" t="s">
        <v>87</v>
      </c>
      <c r="C4" s="49" t="s">
        <v>88</v>
      </c>
      <c r="D4" s="49" t="s">
        <v>89</v>
      </c>
      <c r="E4" s="49" t="s">
        <v>39</v>
      </c>
      <c r="F4" s="49" t="s">
        <v>34</v>
      </c>
      <c r="G4" s="49" t="s">
        <v>33</v>
      </c>
      <c r="H4" s="49">
        <v>25.0</v>
      </c>
      <c r="I4" s="49">
        <v>120.0</v>
      </c>
      <c r="J4" s="49">
        <v>120.0</v>
      </c>
      <c r="K4" s="49" t="s">
        <v>38</v>
      </c>
      <c r="L4" s="49"/>
    </row>
    <row r="5" ht="14.25" customHeight="1">
      <c r="A5" s="49">
        <v>1003.0</v>
      </c>
      <c r="B5" s="49" t="s">
        <v>91</v>
      </c>
      <c r="C5" s="49" t="s">
        <v>92</v>
      </c>
      <c r="D5" s="49" t="s">
        <v>93</v>
      </c>
      <c r="E5" s="49" t="s">
        <v>48</v>
      </c>
      <c r="F5" s="49" t="s">
        <v>26</v>
      </c>
      <c r="G5" s="49" t="s">
        <v>24</v>
      </c>
      <c r="H5" s="49">
        <v>-1.0</v>
      </c>
      <c r="I5" s="49">
        <v>3500.0</v>
      </c>
      <c r="J5" s="49">
        <v>5.0</v>
      </c>
      <c r="K5" s="49" t="s">
        <v>53</v>
      </c>
      <c r="L5" s="49" t="s">
        <v>79</v>
      </c>
    </row>
    <row r="6" ht="14.25" customHeight="1">
      <c r="A6" s="50">
        <v>1004.0</v>
      </c>
      <c r="B6" s="49" t="s">
        <v>96</v>
      </c>
      <c r="C6" s="49" t="s">
        <v>98</v>
      </c>
      <c r="D6" s="49" t="s">
        <v>99</v>
      </c>
      <c r="E6" s="49" t="s">
        <v>41</v>
      </c>
      <c r="F6" s="49" t="s">
        <v>26</v>
      </c>
      <c r="G6" s="49" t="s">
        <v>24</v>
      </c>
      <c r="H6" s="49">
        <v>25.0</v>
      </c>
      <c r="I6" s="49">
        <v>3500.0</v>
      </c>
      <c r="J6" s="49">
        <v>0.0</v>
      </c>
      <c r="K6" s="49"/>
      <c r="L6" s="49" t="s">
        <v>79</v>
      </c>
    </row>
    <row r="7" ht="14.25" customHeight="1">
      <c r="A7" s="51">
        <v>1005.0</v>
      </c>
      <c r="B7" s="49" t="s">
        <v>101</v>
      </c>
      <c r="C7" s="49" t="s">
        <v>85</v>
      </c>
      <c r="D7" s="49" t="s">
        <v>102</v>
      </c>
      <c r="E7" s="49" t="s">
        <v>19</v>
      </c>
      <c r="F7" s="49" t="s">
        <v>26</v>
      </c>
      <c r="G7" s="49" t="s">
        <v>24</v>
      </c>
      <c r="H7" s="49">
        <v>25.0</v>
      </c>
      <c r="I7" s="49">
        <v>3500.0</v>
      </c>
      <c r="J7" s="49">
        <v>120.0</v>
      </c>
      <c r="K7" s="49"/>
      <c r="L7" s="49" t="s">
        <v>80</v>
      </c>
    </row>
    <row r="8" ht="14.25" customHeight="1">
      <c r="A8" s="50">
        <v>1006.0</v>
      </c>
      <c r="B8" s="49" t="s">
        <v>104</v>
      </c>
      <c r="C8" s="49" t="s">
        <v>105</v>
      </c>
      <c r="D8" s="49" t="s">
        <v>89</v>
      </c>
      <c r="E8" s="49" t="s">
        <v>39</v>
      </c>
      <c r="F8" s="49" t="s">
        <v>44</v>
      </c>
      <c r="G8" s="49" t="s">
        <v>42</v>
      </c>
      <c r="H8" s="49">
        <v>25.0</v>
      </c>
      <c r="I8" s="49">
        <v>950.0</v>
      </c>
      <c r="J8" s="49">
        <v>0.0</v>
      </c>
      <c r="K8" s="49" t="s">
        <v>13</v>
      </c>
      <c r="L8" s="49"/>
    </row>
    <row r="9" ht="14.25" customHeight="1">
      <c r="A9" s="50">
        <v>1007.0</v>
      </c>
      <c r="B9" s="49" t="s">
        <v>106</v>
      </c>
      <c r="C9" s="49" t="s">
        <v>107</v>
      </c>
      <c r="D9" s="49" t="s">
        <v>93</v>
      </c>
      <c r="E9" s="49" t="s">
        <v>48</v>
      </c>
      <c r="F9" s="49" t="s">
        <v>34</v>
      </c>
      <c r="G9" s="49" t="s">
        <v>33</v>
      </c>
      <c r="H9" s="49">
        <v>1.0</v>
      </c>
      <c r="I9" s="49">
        <v>-120.0</v>
      </c>
      <c r="J9" s="49">
        <v>15.0</v>
      </c>
      <c r="K9" s="49" t="s">
        <v>53</v>
      </c>
      <c r="L9" s="49" t="s">
        <v>78</v>
      </c>
    </row>
    <row r="10" ht="14.25" customHeight="1">
      <c r="A10" s="50">
        <v>1008.0</v>
      </c>
      <c r="B10" s="49" t="s">
        <v>108</v>
      </c>
      <c r="C10" s="49" t="s">
        <v>109</v>
      </c>
      <c r="D10" s="49" t="s">
        <v>99</v>
      </c>
      <c r="E10" s="49" t="s">
        <v>54</v>
      </c>
      <c r="F10" s="49" t="s">
        <v>34</v>
      </c>
      <c r="G10" s="49" t="s">
        <v>33</v>
      </c>
      <c r="H10" s="49">
        <v>-1.0</v>
      </c>
      <c r="I10" s="49">
        <v>120.0</v>
      </c>
      <c r="J10" s="49">
        <v>5.0</v>
      </c>
      <c r="K10" s="49" t="s">
        <v>37</v>
      </c>
      <c r="L10" s="49" t="s">
        <v>78</v>
      </c>
    </row>
    <row r="11" ht="14.25" customHeight="1">
      <c r="A11" s="50">
        <v>1009.0</v>
      </c>
      <c r="B11" s="49" t="s">
        <v>110</v>
      </c>
      <c r="C11" s="49" t="s">
        <v>111</v>
      </c>
      <c r="D11" s="49" t="s">
        <v>112</v>
      </c>
      <c r="E11" s="49" t="s">
        <v>19</v>
      </c>
      <c r="F11" s="49" t="s">
        <v>51</v>
      </c>
      <c r="G11" s="49" t="s">
        <v>49</v>
      </c>
      <c r="H11" s="49">
        <v>25.0</v>
      </c>
      <c r="I11" s="49">
        <v>800.0</v>
      </c>
      <c r="J11" s="49">
        <v>10.0</v>
      </c>
      <c r="K11" s="49"/>
      <c r="L11" s="49" t="s">
        <v>80</v>
      </c>
    </row>
    <row r="12" ht="14.25" customHeight="1">
      <c r="A12" s="50">
        <v>1010.0</v>
      </c>
      <c r="B12" s="49" t="s">
        <v>113</v>
      </c>
      <c r="C12" s="49" t="s">
        <v>114</v>
      </c>
      <c r="D12" s="49" t="s">
        <v>93</v>
      </c>
      <c r="E12" s="49" t="s">
        <v>19</v>
      </c>
      <c r="F12" s="49" t="s">
        <v>26</v>
      </c>
      <c r="G12" s="49" t="s">
        <v>24</v>
      </c>
      <c r="H12" s="49">
        <v>2.0</v>
      </c>
      <c r="I12" s="49">
        <v>3500.0</v>
      </c>
      <c r="J12" s="49"/>
      <c r="K12" s="49" t="s">
        <v>53</v>
      </c>
      <c r="L12" s="49" t="s">
        <v>79</v>
      </c>
    </row>
    <row r="13" ht="14.25" customHeight="1">
      <c r="A13" s="50">
        <v>1011.0</v>
      </c>
      <c r="B13" s="49" t="s">
        <v>115</v>
      </c>
      <c r="C13" s="49" t="s">
        <v>116</v>
      </c>
      <c r="D13" s="49" t="s">
        <v>93</v>
      </c>
      <c r="E13" s="49" t="s">
        <v>58</v>
      </c>
      <c r="F13" s="49" t="s">
        <v>34</v>
      </c>
      <c r="G13" s="49" t="s">
        <v>33</v>
      </c>
      <c r="H13" s="49">
        <v>25.0</v>
      </c>
      <c r="I13" s="49">
        <v>120.0</v>
      </c>
      <c r="J13" s="49">
        <v>15.0</v>
      </c>
      <c r="K13" s="49" t="s">
        <v>16</v>
      </c>
      <c r="L13" s="49" t="s">
        <v>78</v>
      </c>
    </row>
    <row r="14" ht="14.25" customHeight="1">
      <c r="A14" s="50">
        <v>1012.0</v>
      </c>
      <c r="B14" s="49" t="s">
        <v>87</v>
      </c>
      <c r="C14" s="49" t="s">
        <v>117</v>
      </c>
      <c r="D14" s="49" t="s">
        <v>86</v>
      </c>
      <c r="E14" s="49" t="s">
        <v>41</v>
      </c>
      <c r="F14" s="49" t="s">
        <v>26</v>
      </c>
      <c r="G14" s="49" t="s">
        <v>24</v>
      </c>
      <c r="H14" s="49">
        <v>25.0</v>
      </c>
      <c r="I14" s="49">
        <v>3500.0</v>
      </c>
      <c r="J14" s="49">
        <v>10.0</v>
      </c>
      <c r="K14" s="49"/>
      <c r="L14" s="49"/>
    </row>
    <row r="15" ht="14.25" customHeight="1">
      <c r="A15" s="50">
        <v>1013.0</v>
      </c>
      <c r="B15" s="49" t="s">
        <v>118</v>
      </c>
      <c r="C15" s="49" t="s">
        <v>119</v>
      </c>
      <c r="D15" s="49" t="s">
        <v>103</v>
      </c>
      <c r="E15" s="49" t="s">
        <v>19</v>
      </c>
      <c r="F15" s="49" t="s">
        <v>34</v>
      </c>
      <c r="G15" s="49" t="s">
        <v>33</v>
      </c>
      <c r="H15" s="49">
        <v>-1.0</v>
      </c>
      <c r="I15" s="49">
        <v>120.0</v>
      </c>
      <c r="J15" s="49">
        <v>10.0</v>
      </c>
      <c r="K15" s="49" t="s">
        <v>53</v>
      </c>
      <c r="L15" s="49"/>
    </row>
    <row r="16" ht="14.25" customHeight="1">
      <c r="A16" s="50">
        <v>1014.0</v>
      </c>
      <c r="B16" s="49" t="s">
        <v>120</v>
      </c>
      <c r="C16" s="49" t="s">
        <v>121</v>
      </c>
      <c r="D16" s="49" t="s">
        <v>102</v>
      </c>
      <c r="E16" s="49" t="s">
        <v>22</v>
      </c>
      <c r="F16" s="49" t="s">
        <v>44</v>
      </c>
      <c r="G16" s="49" t="s">
        <v>42</v>
      </c>
      <c r="H16" s="49">
        <v>3.0</v>
      </c>
      <c r="I16" s="49">
        <v>950.0</v>
      </c>
      <c r="J16" s="49">
        <v>10.0</v>
      </c>
      <c r="K16" s="49" t="s">
        <v>13</v>
      </c>
      <c r="L16" s="49" t="s">
        <v>80</v>
      </c>
    </row>
    <row r="17" ht="14.25" customHeight="1">
      <c r="A17" s="50">
        <v>1015.0</v>
      </c>
      <c r="B17" s="49" t="s">
        <v>122</v>
      </c>
      <c r="C17" s="49"/>
      <c r="D17" s="49" t="s">
        <v>123</v>
      </c>
      <c r="E17" s="49" t="s">
        <v>39</v>
      </c>
      <c r="F17" s="49" t="s">
        <v>44</v>
      </c>
      <c r="G17" s="49" t="s">
        <v>42</v>
      </c>
      <c r="H17" s="49">
        <v>0.0</v>
      </c>
      <c r="I17" s="49">
        <v>950.0</v>
      </c>
      <c r="J17" s="49"/>
      <c r="K17" s="49"/>
      <c r="L17" s="49" t="s">
        <v>80</v>
      </c>
    </row>
    <row r="18" ht="14.25" customHeight="1">
      <c r="A18" s="50">
        <v>1016.0</v>
      </c>
      <c r="B18" s="49" t="s">
        <v>124</v>
      </c>
      <c r="C18" s="49" t="s">
        <v>98</v>
      </c>
      <c r="D18" s="49" t="s">
        <v>103</v>
      </c>
      <c r="E18" s="49" t="s">
        <v>19</v>
      </c>
      <c r="F18" s="49" t="s">
        <v>44</v>
      </c>
      <c r="G18" s="49" t="s">
        <v>42</v>
      </c>
      <c r="H18" s="49">
        <v>25.0</v>
      </c>
      <c r="I18" s="49">
        <v>950.0</v>
      </c>
      <c r="J18" s="49">
        <v>120.0</v>
      </c>
      <c r="K18" s="49" t="s">
        <v>13</v>
      </c>
      <c r="L18" s="49" t="s">
        <v>79</v>
      </c>
    </row>
    <row r="19" ht="14.25" customHeight="1">
      <c r="A19" s="50">
        <v>1017.0</v>
      </c>
      <c r="B19" s="49" t="s">
        <v>125</v>
      </c>
      <c r="C19" s="49" t="s">
        <v>126</v>
      </c>
      <c r="D19" s="49" t="s">
        <v>112</v>
      </c>
      <c r="E19" s="49" t="s">
        <v>22</v>
      </c>
      <c r="F19" s="49" t="s">
        <v>51</v>
      </c>
      <c r="G19" s="49" t="s">
        <v>49</v>
      </c>
      <c r="H19" s="49">
        <v>25.0</v>
      </c>
      <c r="I19" s="49">
        <v>800.0</v>
      </c>
      <c r="J19" s="49">
        <v>15.0</v>
      </c>
      <c r="K19" s="49"/>
      <c r="L19" s="49"/>
    </row>
    <row r="20" ht="14.25" customHeight="1">
      <c r="A20" s="50">
        <v>1018.0</v>
      </c>
      <c r="B20" s="49" t="s">
        <v>127</v>
      </c>
      <c r="C20" s="49" t="s">
        <v>128</v>
      </c>
      <c r="D20" s="49" t="s">
        <v>93</v>
      </c>
      <c r="E20" s="49" t="s">
        <v>54</v>
      </c>
      <c r="F20" s="49" t="s">
        <v>34</v>
      </c>
      <c r="G20" s="49" t="s">
        <v>33</v>
      </c>
      <c r="H20" s="49">
        <v>25.0</v>
      </c>
      <c r="I20" s="49">
        <v>120.0</v>
      </c>
      <c r="J20" s="49"/>
      <c r="K20" s="49" t="s">
        <v>38</v>
      </c>
      <c r="L20" s="49" t="s">
        <v>78</v>
      </c>
    </row>
    <row r="21" ht="14.25" customHeight="1">
      <c r="A21" s="50">
        <v>1019.0</v>
      </c>
      <c r="B21" s="49" t="s">
        <v>129</v>
      </c>
      <c r="C21" s="49" t="s">
        <v>130</v>
      </c>
      <c r="D21" s="49" t="s">
        <v>99</v>
      </c>
      <c r="E21" s="49" t="s">
        <v>60</v>
      </c>
      <c r="F21" s="49" t="s">
        <v>34</v>
      </c>
      <c r="G21" s="49" t="s">
        <v>33</v>
      </c>
      <c r="H21" s="49">
        <v>2.0</v>
      </c>
      <c r="I21" s="49">
        <v>120.0</v>
      </c>
      <c r="J21" s="49">
        <v>120.0</v>
      </c>
      <c r="K21" s="49" t="s">
        <v>37</v>
      </c>
      <c r="L21" s="49" t="s">
        <v>78</v>
      </c>
    </row>
    <row r="22" ht="14.25" customHeight="1">
      <c r="A22" s="51">
        <v>1005.0</v>
      </c>
      <c r="B22" s="49" t="s">
        <v>131</v>
      </c>
      <c r="C22" s="49"/>
      <c r="D22" s="49" t="s">
        <v>103</v>
      </c>
      <c r="E22" s="49" t="s">
        <v>19</v>
      </c>
      <c r="F22" s="49" t="s">
        <v>51</v>
      </c>
      <c r="G22" s="49" t="s">
        <v>49</v>
      </c>
      <c r="H22" s="49">
        <v>-1.0</v>
      </c>
      <c r="I22" s="49">
        <v>800.0</v>
      </c>
      <c r="J22" s="49"/>
      <c r="K22" s="49" t="s">
        <v>13</v>
      </c>
      <c r="L22" s="49" t="s">
        <v>80</v>
      </c>
    </row>
    <row r="23" ht="14.25" customHeight="1">
      <c r="A23" s="50">
        <v>1021.0</v>
      </c>
      <c r="B23" s="49" t="s">
        <v>132</v>
      </c>
      <c r="C23" s="49" t="s">
        <v>130</v>
      </c>
      <c r="D23" s="49" t="s">
        <v>103</v>
      </c>
      <c r="E23" s="49" t="s">
        <v>48</v>
      </c>
      <c r="F23" s="49" t="s">
        <v>44</v>
      </c>
      <c r="G23" s="49" t="s">
        <v>42</v>
      </c>
      <c r="H23" s="49">
        <v>0.0</v>
      </c>
      <c r="I23" s="49">
        <v>950.0</v>
      </c>
      <c r="J23" s="49">
        <v>5.0</v>
      </c>
      <c r="K23" s="49" t="s">
        <v>38</v>
      </c>
      <c r="L23" s="49" t="s">
        <v>79</v>
      </c>
    </row>
    <row r="24" ht="14.25" customHeight="1">
      <c r="A24" s="50">
        <v>1022.0</v>
      </c>
      <c r="B24" s="49" t="s">
        <v>133</v>
      </c>
      <c r="C24" s="49" t="s">
        <v>134</v>
      </c>
      <c r="D24" s="49" t="s">
        <v>112</v>
      </c>
      <c r="E24" s="49" t="s">
        <v>54</v>
      </c>
      <c r="F24" s="49" t="s">
        <v>34</v>
      </c>
      <c r="G24" s="49" t="s">
        <v>33</v>
      </c>
      <c r="H24" s="49">
        <v>25.0</v>
      </c>
      <c r="I24" s="49">
        <v>120.0</v>
      </c>
      <c r="J24" s="49">
        <v>10.0</v>
      </c>
      <c r="K24" s="49"/>
      <c r="L24" s="49" t="s">
        <v>78</v>
      </c>
    </row>
    <row r="25" ht="14.25" customHeight="1">
      <c r="A25" s="50">
        <v>1023.0</v>
      </c>
      <c r="B25" s="49" t="s">
        <v>135</v>
      </c>
      <c r="C25" s="49" t="s">
        <v>128</v>
      </c>
      <c r="D25" s="49" t="s">
        <v>99</v>
      </c>
      <c r="E25" s="49" t="s">
        <v>41</v>
      </c>
      <c r="F25" s="49" t="s">
        <v>34</v>
      </c>
      <c r="G25" s="49" t="s">
        <v>33</v>
      </c>
      <c r="H25" s="49">
        <v>0.0</v>
      </c>
      <c r="I25" s="49">
        <v>120.0</v>
      </c>
      <c r="J25" s="49">
        <v>15.0</v>
      </c>
      <c r="K25" s="49" t="s">
        <v>38</v>
      </c>
      <c r="L25" s="49" t="s">
        <v>80</v>
      </c>
    </row>
    <row r="26" ht="14.25" customHeight="1">
      <c r="A26" s="49">
        <v>1024.0</v>
      </c>
      <c r="B26" s="49" t="s">
        <v>136</v>
      </c>
      <c r="C26" s="49" t="s">
        <v>137</v>
      </c>
      <c r="D26" s="49" t="s">
        <v>68</v>
      </c>
      <c r="E26" s="49" t="s">
        <v>31</v>
      </c>
      <c r="F26" s="49" t="s">
        <v>34</v>
      </c>
      <c r="G26" s="49" t="s">
        <v>33</v>
      </c>
      <c r="H26" s="49">
        <v>0.0</v>
      </c>
      <c r="I26" s="49">
        <v>-120.0</v>
      </c>
      <c r="J26" s="49">
        <v>15.0</v>
      </c>
      <c r="K26" s="49" t="s">
        <v>53</v>
      </c>
      <c r="L26" s="49" t="s">
        <v>79</v>
      </c>
    </row>
    <row r="27" ht="14.25" customHeight="1">
      <c r="A27" s="49">
        <v>1025.0</v>
      </c>
      <c r="B27" s="49" t="s">
        <v>138</v>
      </c>
      <c r="C27" s="49" t="s">
        <v>119</v>
      </c>
      <c r="D27" s="49" t="s">
        <v>89</v>
      </c>
      <c r="E27" s="49" t="s">
        <v>58</v>
      </c>
      <c r="F27" s="49" t="s">
        <v>26</v>
      </c>
      <c r="G27" s="49" t="s">
        <v>24</v>
      </c>
      <c r="H27" s="49">
        <v>2.0</v>
      </c>
      <c r="I27" s="49">
        <v>3500.0</v>
      </c>
      <c r="J27" s="49">
        <v>120.0</v>
      </c>
      <c r="K27" s="49" t="s">
        <v>37</v>
      </c>
      <c r="L27" s="49" t="s">
        <v>80</v>
      </c>
    </row>
    <row r="28" ht="14.25" customHeight="1">
      <c r="A28" s="49">
        <v>1026.0</v>
      </c>
      <c r="B28" s="49" t="s">
        <v>139</v>
      </c>
      <c r="C28" s="49" t="s">
        <v>140</v>
      </c>
      <c r="D28" s="49" t="s">
        <v>141</v>
      </c>
      <c r="E28" s="49" t="s">
        <v>41</v>
      </c>
      <c r="F28" s="49" t="s">
        <v>26</v>
      </c>
      <c r="G28" s="49" t="s">
        <v>24</v>
      </c>
      <c r="H28" s="49">
        <v>-1.0</v>
      </c>
      <c r="I28" s="49">
        <v>3500.0</v>
      </c>
      <c r="J28" s="49">
        <v>120.0</v>
      </c>
      <c r="K28" s="49" t="s">
        <v>37</v>
      </c>
      <c r="L28" s="49" t="s">
        <v>80</v>
      </c>
    </row>
    <row r="29" ht="14.25" customHeight="1">
      <c r="A29" s="49">
        <v>1027.0</v>
      </c>
      <c r="B29" s="49" t="s">
        <v>142</v>
      </c>
      <c r="C29" s="49" t="s">
        <v>121</v>
      </c>
      <c r="D29" s="49" t="s">
        <v>112</v>
      </c>
      <c r="E29" s="49" t="s">
        <v>22</v>
      </c>
      <c r="F29" s="49" t="s">
        <v>26</v>
      </c>
      <c r="G29" s="49" t="s">
        <v>24</v>
      </c>
      <c r="H29" s="49">
        <v>0.0</v>
      </c>
      <c r="I29" s="49">
        <v>3500.0</v>
      </c>
      <c r="J29" s="49">
        <v>15.0</v>
      </c>
      <c r="K29" s="49" t="s">
        <v>37</v>
      </c>
      <c r="L29" s="49"/>
    </row>
    <row r="30" ht="14.25" customHeight="1">
      <c r="A30" s="49">
        <v>1028.0</v>
      </c>
      <c r="B30" s="49" t="s">
        <v>143</v>
      </c>
      <c r="C30" s="49" t="s">
        <v>107</v>
      </c>
      <c r="D30" s="49" t="s">
        <v>89</v>
      </c>
      <c r="E30" s="49" t="s">
        <v>58</v>
      </c>
      <c r="F30" s="49" t="s">
        <v>26</v>
      </c>
      <c r="G30" s="49" t="s">
        <v>24</v>
      </c>
      <c r="H30" s="49">
        <v>4.0</v>
      </c>
      <c r="I30" s="49">
        <v>3500.0</v>
      </c>
      <c r="J30" s="49">
        <v>15.0</v>
      </c>
      <c r="K30" s="49" t="s">
        <v>13</v>
      </c>
      <c r="L30" s="49" t="s">
        <v>79</v>
      </c>
    </row>
    <row r="31" ht="14.25" customHeight="1">
      <c r="A31" s="49">
        <v>1029.0</v>
      </c>
      <c r="B31" s="49" t="s">
        <v>144</v>
      </c>
      <c r="C31" s="49" t="s">
        <v>145</v>
      </c>
      <c r="D31" s="49" t="s">
        <v>112</v>
      </c>
      <c r="E31" s="49" t="s">
        <v>54</v>
      </c>
      <c r="F31" s="49" t="s">
        <v>34</v>
      </c>
      <c r="G31" s="49" t="s">
        <v>33</v>
      </c>
      <c r="H31" s="49">
        <v>25.0</v>
      </c>
      <c r="I31" s="49">
        <v>120.0</v>
      </c>
      <c r="J31" s="49">
        <v>5.0</v>
      </c>
      <c r="K31" s="49" t="s">
        <v>53</v>
      </c>
      <c r="L31" s="49" t="s">
        <v>78</v>
      </c>
    </row>
    <row r="32" ht="14.25" customHeight="1">
      <c r="A32" s="49">
        <v>1030.0</v>
      </c>
      <c r="B32" s="49" t="s">
        <v>101</v>
      </c>
      <c r="C32" s="49" t="s">
        <v>140</v>
      </c>
      <c r="D32" s="49" t="s">
        <v>89</v>
      </c>
      <c r="E32" s="49" t="s">
        <v>22</v>
      </c>
      <c r="F32" s="49" t="s">
        <v>34</v>
      </c>
      <c r="G32" s="49" t="s">
        <v>33</v>
      </c>
      <c r="H32" s="49">
        <v>-1.0</v>
      </c>
      <c r="I32" s="49">
        <v>120.0</v>
      </c>
      <c r="J32" s="49"/>
      <c r="K32" s="49"/>
      <c r="L32" s="49" t="s">
        <v>78</v>
      </c>
    </row>
    <row r="33" ht="14.25" customHeight="1">
      <c r="A33" s="49">
        <v>1031.0</v>
      </c>
      <c r="B33" s="49" t="s">
        <v>146</v>
      </c>
      <c r="C33" s="49" t="s">
        <v>92</v>
      </c>
      <c r="D33" s="49" t="s">
        <v>93</v>
      </c>
      <c r="E33" s="49" t="s">
        <v>48</v>
      </c>
      <c r="F33" s="49" t="s">
        <v>44</v>
      </c>
      <c r="G33" s="49" t="s">
        <v>42</v>
      </c>
      <c r="H33" s="49">
        <v>-1.0</v>
      </c>
      <c r="I33" s="49">
        <v>950.0</v>
      </c>
      <c r="J33" s="49">
        <v>10.0</v>
      </c>
      <c r="K33" s="49" t="s">
        <v>16</v>
      </c>
      <c r="L33" s="49" t="s">
        <v>78</v>
      </c>
    </row>
    <row r="34" ht="14.25" customHeight="1">
      <c r="A34" s="49">
        <v>1032.0</v>
      </c>
      <c r="B34" s="49" t="s">
        <v>147</v>
      </c>
      <c r="C34" s="49" t="s">
        <v>130</v>
      </c>
      <c r="D34" s="49" t="s">
        <v>93</v>
      </c>
      <c r="E34" s="49" t="s">
        <v>48</v>
      </c>
      <c r="F34" s="49" t="s">
        <v>44</v>
      </c>
      <c r="G34" s="49" t="s">
        <v>42</v>
      </c>
      <c r="H34" s="49">
        <v>-1.0</v>
      </c>
      <c r="I34" s="49">
        <v>950.0</v>
      </c>
      <c r="J34" s="49">
        <v>15.0</v>
      </c>
      <c r="K34" s="49" t="s">
        <v>13</v>
      </c>
      <c r="L34" s="49" t="s">
        <v>79</v>
      </c>
    </row>
    <row r="35" ht="14.25" customHeight="1">
      <c r="A35" s="49">
        <v>1033.0</v>
      </c>
      <c r="B35" s="49" t="s">
        <v>148</v>
      </c>
      <c r="C35" s="49" t="s">
        <v>116</v>
      </c>
      <c r="D35" s="49" t="s">
        <v>149</v>
      </c>
      <c r="E35" s="49" t="s">
        <v>58</v>
      </c>
      <c r="F35" s="49" t="s">
        <v>44</v>
      </c>
      <c r="G35" s="49" t="s">
        <v>42</v>
      </c>
      <c r="H35" s="49">
        <v>25.0</v>
      </c>
      <c r="I35" s="49">
        <v>-950.0</v>
      </c>
      <c r="J35" s="49"/>
      <c r="K35" s="49" t="s">
        <v>37</v>
      </c>
      <c r="L35" s="49" t="s">
        <v>80</v>
      </c>
    </row>
    <row r="36" ht="14.25" customHeight="1">
      <c r="A36" s="49">
        <v>1034.0</v>
      </c>
      <c r="B36" s="49" t="s">
        <v>150</v>
      </c>
      <c r="C36" s="49" t="s">
        <v>117</v>
      </c>
      <c r="D36" s="49" t="s">
        <v>102</v>
      </c>
      <c r="E36" s="49" t="s">
        <v>48</v>
      </c>
      <c r="F36" s="49" t="s">
        <v>51</v>
      </c>
      <c r="G36" s="49" t="s">
        <v>49</v>
      </c>
      <c r="H36" s="49">
        <v>4.0</v>
      </c>
      <c r="I36" s="49">
        <v>800.0</v>
      </c>
      <c r="J36" s="49">
        <v>15.0</v>
      </c>
      <c r="K36" s="49" t="s">
        <v>16</v>
      </c>
      <c r="L36" s="49" t="s">
        <v>79</v>
      </c>
    </row>
    <row r="37" ht="14.25" customHeight="1">
      <c r="A37" s="49">
        <v>1035.0</v>
      </c>
      <c r="B37" s="49" t="s">
        <v>151</v>
      </c>
      <c r="C37" s="49" t="s">
        <v>116</v>
      </c>
      <c r="D37" s="49" t="s">
        <v>141</v>
      </c>
      <c r="E37" s="49" t="s">
        <v>39</v>
      </c>
      <c r="F37" s="49" t="s">
        <v>51</v>
      </c>
      <c r="G37" s="49" t="s">
        <v>49</v>
      </c>
      <c r="H37" s="49">
        <v>-1.0</v>
      </c>
      <c r="I37" s="49">
        <v>800.0</v>
      </c>
      <c r="J37" s="49">
        <v>5.0</v>
      </c>
      <c r="K37" s="49" t="s">
        <v>16</v>
      </c>
      <c r="L37" s="49" t="s">
        <v>79</v>
      </c>
    </row>
    <row r="38" ht="14.25" customHeight="1">
      <c r="A38" s="49">
        <v>1036.0</v>
      </c>
      <c r="B38" s="49" t="s">
        <v>142</v>
      </c>
      <c r="C38" s="49" t="s">
        <v>130</v>
      </c>
      <c r="D38" s="49" t="s">
        <v>103</v>
      </c>
      <c r="E38" s="49" t="s">
        <v>58</v>
      </c>
      <c r="F38" s="49" t="s">
        <v>51</v>
      </c>
      <c r="G38" s="49" t="s">
        <v>49</v>
      </c>
      <c r="H38" s="49">
        <v>0.0</v>
      </c>
      <c r="I38" s="49">
        <v>800.0</v>
      </c>
      <c r="J38" s="49">
        <v>10.0</v>
      </c>
      <c r="K38" s="49" t="s">
        <v>16</v>
      </c>
      <c r="L38" s="49" t="s">
        <v>80</v>
      </c>
    </row>
    <row r="39" ht="14.25" customHeight="1">
      <c r="A39" s="49">
        <v>1037.0</v>
      </c>
      <c r="B39" s="49" t="s">
        <v>152</v>
      </c>
      <c r="C39" s="49" t="s">
        <v>92</v>
      </c>
      <c r="D39" s="49" t="s">
        <v>103</v>
      </c>
      <c r="E39" s="49" t="s">
        <v>39</v>
      </c>
      <c r="F39" s="49" t="s">
        <v>34</v>
      </c>
      <c r="G39" s="49" t="s">
        <v>33</v>
      </c>
      <c r="H39" s="49">
        <v>3.0</v>
      </c>
      <c r="I39" s="49">
        <v>120.0</v>
      </c>
      <c r="J39" s="49">
        <v>10.0</v>
      </c>
      <c r="K39" s="49" t="s">
        <v>37</v>
      </c>
      <c r="L39" s="49" t="s">
        <v>79</v>
      </c>
    </row>
    <row r="40" ht="14.25" customHeight="1">
      <c r="A40" s="49">
        <v>1038.0</v>
      </c>
      <c r="B40" s="49" t="s">
        <v>153</v>
      </c>
      <c r="C40" s="49" t="s">
        <v>154</v>
      </c>
      <c r="D40" s="49" t="s">
        <v>141</v>
      </c>
      <c r="E40" s="49" t="s">
        <v>39</v>
      </c>
      <c r="F40" s="49" t="s">
        <v>44</v>
      </c>
      <c r="G40" s="49" t="s">
        <v>42</v>
      </c>
      <c r="H40" s="49">
        <v>5.0</v>
      </c>
      <c r="I40" s="49">
        <v>950.0</v>
      </c>
      <c r="J40" s="49">
        <v>15.0</v>
      </c>
      <c r="K40" s="49" t="s">
        <v>16</v>
      </c>
      <c r="L40" s="49" t="s">
        <v>78</v>
      </c>
    </row>
    <row r="41" ht="14.25" customHeight="1">
      <c r="A41" s="49">
        <v>1039.0</v>
      </c>
      <c r="B41" s="49" t="s">
        <v>155</v>
      </c>
      <c r="C41" s="49" t="s">
        <v>114</v>
      </c>
      <c r="D41" s="49" t="s">
        <v>86</v>
      </c>
      <c r="E41" s="49" t="s">
        <v>58</v>
      </c>
      <c r="F41" s="49" t="s">
        <v>44</v>
      </c>
      <c r="G41" s="49" t="s">
        <v>42</v>
      </c>
      <c r="H41" s="49">
        <v>1.0</v>
      </c>
      <c r="I41" s="49">
        <v>950.0</v>
      </c>
      <c r="J41" s="49"/>
      <c r="K41" s="49"/>
      <c r="L41" s="49"/>
    </row>
    <row r="42" ht="14.25" customHeight="1">
      <c r="A42" s="49">
        <v>1040.0</v>
      </c>
      <c r="B42" s="49" t="s">
        <v>156</v>
      </c>
      <c r="C42" s="49" t="s">
        <v>121</v>
      </c>
      <c r="D42" s="49" t="s">
        <v>93</v>
      </c>
      <c r="E42" s="49" t="s">
        <v>60</v>
      </c>
      <c r="F42" s="49" t="s">
        <v>51</v>
      </c>
      <c r="G42" s="49" t="s">
        <v>49</v>
      </c>
      <c r="H42" s="49">
        <v>25.0</v>
      </c>
      <c r="I42" s="49">
        <v>-800.0</v>
      </c>
      <c r="J42" s="49">
        <v>120.0</v>
      </c>
      <c r="K42" s="49"/>
      <c r="L42" s="49" t="s">
        <v>79</v>
      </c>
    </row>
    <row r="43" ht="14.25" customHeight="1">
      <c r="A43" s="49">
        <v>1041.0</v>
      </c>
      <c r="B43" s="49" t="s">
        <v>157</v>
      </c>
      <c r="C43" s="49" t="s">
        <v>92</v>
      </c>
      <c r="D43" s="49" t="s">
        <v>68</v>
      </c>
      <c r="E43" s="49" t="s">
        <v>39</v>
      </c>
      <c r="F43" s="49" t="s">
        <v>44</v>
      </c>
      <c r="G43" s="49" t="s">
        <v>42</v>
      </c>
      <c r="H43" s="49">
        <v>25.0</v>
      </c>
      <c r="I43" s="49">
        <v>-950.0</v>
      </c>
      <c r="J43" s="49">
        <v>5.0</v>
      </c>
      <c r="K43" s="49" t="s">
        <v>38</v>
      </c>
      <c r="L43" s="49" t="s">
        <v>80</v>
      </c>
    </row>
    <row r="44" ht="14.25" customHeight="1">
      <c r="A44" s="49">
        <v>1042.0</v>
      </c>
      <c r="B44" s="49" t="s">
        <v>158</v>
      </c>
      <c r="C44" s="49" t="s">
        <v>107</v>
      </c>
      <c r="D44" s="49" t="s">
        <v>123</v>
      </c>
      <c r="E44" s="49" t="s">
        <v>41</v>
      </c>
      <c r="F44" s="49" t="s">
        <v>51</v>
      </c>
      <c r="G44" s="49" t="s">
        <v>49</v>
      </c>
      <c r="H44" s="49">
        <v>25.0</v>
      </c>
      <c r="I44" s="49">
        <v>800.0</v>
      </c>
      <c r="J44" s="49">
        <v>120.0</v>
      </c>
      <c r="K44" s="49" t="s">
        <v>37</v>
      </c>
      <c r="L44" s="49"/>
    </row>
    <row r="45" ht="14.25" customHeight="1">
      <c r="A45" s="49">
        <v>1043.0</v>
      </c>
      <c r="B45" s="49" t="s">
        <v>159</v>
      </c>
      <c r="C45" s="49" t="s">
        <v>88</v>
      </c>
      <c r="D45" s="49" t="s">
        <v>160</v>
      </c>
      <c r="E45" s="49" t="s">
        <v>19</v>
      </c>
      <c r="F45" s="49" t="s">
        <v>34</v>
      </c>
      <c r="G45" s="49" t="s">
        <v>33</v>
      </c>
      <c r="H45" s="49">
        <v>-1.0</v>
      </c>
      <c r="I45" s="49">
        <v>-120.0</v>
      </c>
      <c r="J45" s="49">
        <v>120.0</v>
      </c>
      <c r="K45" s="49"/>
      <c r="L45" s="49"/>
    </row>
    <row r="46" ht="14.25" customHeight="1">
      <c r="A46" s="49">
        <v>1044.0</v>
      </c>
      <c r="B46" s="49" t="s">
        <v>161</v>
      </c>
      <c r="C46" s="49" t="s">
        <v>105</v>
      </c>
      <c r="D46" s="49" t="s">
        <v>112</v>
      </c>
      <c r="E46" s="49" t="s">
        <v>58</v>
      </c>
      <c r="F46" s="49" t="s">
        <v>44</v>
      </c>
      <c r="G46" s="49" t="s">
        <v>42</v>
      </c>
      <c r="H46" s="49">
        <v>1.0</v>
      </c>
      <c r="I46" s="49">
        <v>950.0</v>
      </c>
      <c r="J46" s="49">
        <v>5.0</v>
      </c>
      <c r="K46" s="49" t="s">
        <v>53</v>
      </c>
      <c r="L46" s="49" t="s">
        <v>80</v>
      </c>
    </row>
    <row r="47" ht="14.25" customHeight="1">
      <c r="A47" s="49">
        <v>1045.0</v>
      </c>
      <c r="B47" s="49" t="s">
        <v>65</v>
      </c>
      <c r="C47" s="49" t="s">
        <v>105</v>
      </c>
      <c r="D47" s="49" t="s">
        <v>141</v>
      </c>
      <c r="E47" s="49" t="s">
        <v>58</v>
      </c>
      <c r="F47" s="49" t="s">
        <v>44</v>
      </c>
      <c r="G47" s="49" t="s">
        <v>42</v>
      </c>
      <c r="H47" s="49">
        <v>25.0</v>
      </c>
      <c r="I47" s="49">
        <v>950.0</v>
      </c>
      <c r="J47" s="49">
        <v>15.0</v>
      </c>
      <c r="K47" s="49" t="s">
        <v>53</v>
      </c>
      <c r="L47" s="49"/>
    </row>
    <row r="48" ht="14.25" customHeight="1">
      <c r="A48" s="49">
        <v>1046.0</v>
      </c>
      <c r="B48" s="49" t="s">
        <v>162</v>
      </c>
      <c r="C48" s="49"/>
      <c r="D48" s="49" t="s">
        <v>93</v>
      </c>
      <c r="E48" s="49" t="s">
        <v>22</v>
      </c>
      <c r="F48" s="49" t="s">
        <v>26</v>
      </c>
      <c r="G48" s="49" t="s">
        <v>24</v>
      </c>
      <c r="H48" s="49">
        <v>25.0</v>
      </c>
      <c r="I48" s="49">
        <v>3500.0</v>
      </c>
      <c r="J48" s="49"/>
      <c r="K48" s="49" t="s">
        <v>13</v>
      </c>
      <c r="L48" s="49" t="s">
        <v>78</v>
      </c>
    </row>
    <row r="49" ht="14.25" customHeight="1">
      <c r="A49" s="49">
        <v>1047.0</v>
      </c>
      <c r="B49" s="49" t="s">
        <v>163</v>
      </c>
      <c r="C49" s="49" t="s">
        <v>111</v>
      </c>
      <c r="D49" s="49" t="s">
        <v>89</v>
      </c>
      <c r="E49" s="49" t="s">
        <v>19</v>
      </c>
      <c r="F49" s="49" t="s">
        <v>51</v>
      </c>
      <c r="G49" s="49" t="s">
        <v>49</v>
      </c>
      <c r="H49" s="49">
        <v>2.0</v>
      </c>
      <c r="I49" s="49">
        <v>800.0</v>
      </c>
      <c r="J49" s="49">
        <v>120.0</v>
      </c>
      <c r="K49" s="49" t="s">
        <v>37</v>
      </c>
      <c r="L49" s="49"/>
    </row>
    <row r="50" ht="14.25" customHeight="1">
      <c r="A50" s="49">
        <v>1048.0</v>
      </c>
      <c r="B50" s="49" t="s">
        <v>164</v>
      </c>
      <c r="C50" s="49" t="s">
        <v>126</v>
      </c>
      <c r="D50" s="49" t="s">
        <v>149</v>
      </c>
      <c r="E50" s="49" t="s">
        <v>22</v>
      </c>
      <c r="F50" s="49" t="s">
        <v>26</v>
      </c>
      <c r="G50" s="49" t="s">
        <v>24</v>
      </c>
      <c r="H50" s="49">
        <v>-1.0</v>
      </c>
      <c r="I50" s="49">
        <v>3500.0</v>
      </c>
      <c r="J50" s="49"/>
      <c r="K50" s="49" t="s">
        <v>37</v>
      </c>
      <c r="L50" s="49" t="s">
        <v>78</v>
      </c>
    </row>
    <row r="51" ht="14.25" customHeight="1">
      <c r="A51" s="49">
        <v>1049.0</v>
      </c>
      <c r="B51" s="49" t="s">
        <v>165</v>
      </c>
      <c r="C51" s="49" t="s">
        <v>134</v>
      </c>
      <c r="D51" s="49" t="s">
        <v>68</v>
      </c>
      <c r="E51" s="49" t="s">
        <v>31</v>
      </c>
      <c r="F51" s="49" t="s">
        <v>26</v>
      </c>
      <c r="G51" s="49" t="s">
        <v>24</v>
      </c>
      <c r="H51" s="49">
        <v>-1.0</v>
      </c>
      <c r="I51" s="49">
        <v>3500.0</v>
      </c>
      <c r="J51" s="49">
        <v>15.0</v>
      </c>
      <c r="K51" s="49" t="s">
        <v>37</v>
      </c>
      <c r="L51" s="49" t="s">
        <v>78</v>
      </c>
    </row>
    <row r="52" ht="14.25" customHeight="1">
      <c r="A52" s="49">
        <v>1050.0</v>
      </c>
      <c r="B52" s="49" t="s">
        <v>166</v>
      </c>
      <c r="C52" s="49" t="s">
        <v>167</v>
      </c>
      <c r="D52" s="49" t="s">
        <v>123</v>
      </c>
      <c r="E52" s="49" t="s">
        <v>54</v>
      </c>
      <c r="F52" s="49" t="s">
        <v>26</v>
      </c>
      <c r="G52" s="49" t="s">
        <v>24</v>
      </c>
      <c r="H52" s="49">
        <v>0.0</v>
      </c>
      <c r="I52" s="49">
        <v>3500.0</v>
      </c>
      <c r="J52" s="49">
        <v>120.0</v>
      </c>
      <c r="K52" s="49" t="s">
        <v>16</v>
      </c>
      <c r="L52" s="49" t="s">
        <v>80</v>
      </c>
    </row>
    <row r="53" ht="14.25" customHeight="1">
      <c r="A53" s="49">
        <v>1051.0</v>
      </c>
      <c r="B53" s="49" t="s">
        <v>168</v>
      </c>
      <c r="C53" s="49" t="s">
        <v>140</v>
      </c>
      <c r="D53" s="49" t="s">
        <v>93</v>
      </c>
      <c r="E53" s="49" t="s">
        <v>19</v>
      </c>
      <c r="F53" s="49" t="s">
        <v>44</v>
      </c>
      <c r="G53" s="49" t="s">
        <v>42</v>
      </c>
      <c r="H53" s="49">
        <v>5.0</v>
      </c>
      <c r="I53" s="49">
        <v>950.0</v>
      </c>
      <c r="J53" s="49">
        <v>5.0</v>
      </c>
      <c r="K53" s="49" t="s">
        <v>38</v>
      </c>
      <c r="L53" s="49" t="s">
        <v>78</v>
      </c>
    </row>
    <row r="54" ht="14.25" customHeight="1">
      <c r="A54" s="49">
        <v>1052.0</v>
      </c>
      <c r="B54" s="49" t="s">
        <v>169</v>
      </c>
      <c r="C54" s="49" t="s">
        <v>130</v>
      </c>
      <c r="D54" s="49" t="s">
        <v>93</v>
      </c>
      <c r="E54" s="49" t="s">
        <v>41</v>
      </c>
      <c r="F54" s="49" t="s">
        <v>44</v>
      </c>
      <c r="G54" s="49" t="s">
        <v>42</v>
      </c>
      <c r="H54" s="49">
        <v>25.0</v>
      </c>
      <c r="I54" s="49">
        <v>950.0</v>
      </c>
      <c r="J54" s="49">
        <v>5.0</v>
      </c>
      <c r="K54" s="49" t="s">
        <v>53</v>
      </c>
      <c r="L54" s="49"/>
    </row>
    <row r="55" ht="14.25" customHeight="1">
      <c r="A55" s="49">
        <v>1053.0</v>
      </c>
      <c r="B55" s="49" t="s">
        <v>133</v>
      </c>
      <c r="C55" s="49" t="s">
        <v>107</v>
      </c>
      <c r="D55" s="49" t="s">
        <v>102</v>
      </c>
      <c r="E55" s="49" t="s">
        <v>58</v>
      </c>
      <c r="F55" s="49" t="s">
        <v>44</v>
      </c>
      <c r="G55" s="49" t="s">
        <v>42</v>
      </c>
      <c r="H55" s="49">
        <v>5.0</v>
      </c>
      <c r="I55" s="49">
        <v>950.0</v>
      </c>
      <c r="J55" s="49">
        <v>15.0</v>
      </c>
      <c r="K55" s="49" t="s">
        <v>13</v>
      </c>
      <c r="L55" s="49"/>
    </row>
    <row r="56" ht="14.25" customHeight="1">
      <c r="A56" s="49">
        <v>1054.0</v>
      </c>
      <c r="B56" s="49" t="s">
        <v>162</v>
      </c>
      <c r="C56" s="49" t="s">
        <v>170</v>
      </c>
      <c r="D56" s="49" t="s">
        <v>93</v>
      </c>
      <c r="E56" s="49" t="s">
        <v>39</v>
      </c>
      <c r="F56" s="49" t="s">
        <v>44</v>
      </c>
      <c r="G56" s="49" t="s">
        <v>42</v>
      </c>
      <c r="H56" s="49">
        <v>0.0</v>
      </c>
      <c r="I56" s="49">
        <v>950.0</v>
      </c>
      <c r="J56" s="49">
        <v>120.0</v>
      </c>
      <c r="K56" s="49" t="s">
        <v>16</v>
      </c>
      <c r="L56" s="49" t="s">
        <v>79</v>
      </c>
    </row>
    <row r="57" ht="14.25" customHeight="1">
      <c r="A57" s="49">
        <v>1055.0</v>
      </c>
      <c r="B57" s="49" t="s">
        <v>171</v>
      </c>
      <c r="C57" s="49" t="s">
        <v>117</v>
      </c>
      <c r="D57" s="49" t="s">
        <v>86</v>
      </c>
      <c r="E57" s="49" t="s">
        <v>48</v>
      </c>
      <c r="F57" s="49" t="s">
        <v>26</v>
      </c>
      <c r="G57" s="49" t="s">
        <v>24</v>
      </c>
      <c r="H57" s="49">
        <v>0.0</v>
      </c>
      <c r="I57" s="49">
        <v>3500.0</v>
      </c>
      <c r="J57" s="49">
        <v>5.0</v>
      </c>
      <c r="K57" s="49" t="s">
        <v>13</v>
      </c>
      <c r="L57" s="49" t="s">
        <v>80</v>
      </c>
    </row>
    <row r="58" ht="14.25" customHeight="1">
      <c r="A58" s="49">
        <v>1056.0</v>
      </c>
      <c r="B58" s="49" t="s">
        <v>101</v>
      </c>
      <c r="C58" s="49" t="s">
        <v>105</v>
      </c>
      <c r="D58" s="49" t="s">
        <v>103</v>
      </c>
      <c r="E58" s="49" t="s">
        <v>31</v>
      </c>
      <c r="F58" s="49" t="s">
        <v>34</v>
      </c>
      <c r="G58" s="49" t="s">
        <v>33</v>
      </c>
      <c r="H58" s="49">
        <v>0.0</v>
      </c>
      <c r="I58" s="49">
        <v>120.0</v>
      </c>
      <c r="J58" s="49"/>
      <c r="K58" s="49" t="s">
        <v>38</v>
      </c>
      <c r="L58" s="49" t="s">
        <v>78</v>
      </c>
    </row>
    <row r="59" ht="14.25" customHeight="1">
      <c r="A59" s="49">
        <v>1057.0</v>
      </c>
      <c r="B59" s="49" t="s">
        <v>157</v>
      </c>
      <c r="C59" s="49" t="s">
        <v>116</v>
      </c>
      <c r="D59" s="49" t="s">
        <v>102</v>
      </c>
      <c r="E59" s="49" t="s">
        <v>58</v>
      </c>
      <c r="F59" s="49" t="s">
        <v>51</v>
      </c>
      <c r="G59" s="49" t="s">
        <v>49</v>
      </c>
      <c r="H59" s="49">
        <v>5.0</v>
      </c>
      <c r="I59" s="49">
        <v>800.0</v>
      </c>
      <c r="J59" s="49"/>
      <c r="K59" s="49" t="s">
        <v>16</v>
      </c>
      <c r="L59" s="49" t="s">
        <v>79</v>
      </c>
    </row>
    <row r="60" ht="14.25" customHeight="1">
      <c r="A60" s="49">
        <v>1058.0</v>
      </c>
      <c r="B60" s="49" t="s">
        <v>172</v>
      </c>
      <c r="C60" s="49" t="s">
        <v>105</v>
      </c>
      <c r="D60" s="49" t="s">
        <v>102</v>
      </c>
      <c r="E60" s="49" t="s">
        <v>41</v>
      </c>
      <c r="F60" s="49" t="s">
        <v>34</v>
      </c>
      <c r="G60" s="49" t="s">
        <v>33</v>
      </c>
      <c r="H60" s="49">
        <v>-1.0</v>
      </c>
      <c r="I60" s="49">
        <v>120.0</v>
      </c>
      <c r="J60" s="49"/>
      <c r="K60" s="49" t="s">
        <v>53</v>
      </c>
      <c r="L60" s="49"/>
    </row>
    <row r="61" ht="14.25" customHeight="1">
      <c r="A61" s="49">
        <v>1059.0</v>
      </c>
      <c r="B61" s="49" t="s">
        <v>165</v>
      </c>
      <c r="C61" s="49" t="s">
        <v>173</v>
      </c>
      <c r="D61" s="49" t="s">
        <v>149</v>
      </c>
      <c r="E61" s="49" t="s">
        <v>19</v>
      </c>
      <c r="F61" s="49" t="s">
        <v>34</v>
      </c>
      <c r="G61" s="49" t="s">
        <v>33</v>
      </c>
      <c r="H61" s="49">
        <v>-1.0</v>
      </c>
      <c r="I61" s="49">
        <v>120.0</v>
      </c>
      <c r="J61" s="49">
        <v>120.0</v>
      </c>
      <c r="K61" s="49" t="s">
        <v>38</v>
      </c>
      <c r="L61" s="49" t="s">
        <v>78</v>
      </c>
    </row>
    <row r="62" ht="14.25" customHeight="1">
      <c r="A62" s="49">
        <v>1060.0</v>
      </c>
      <c r="B62" s="49" t="s">
        <v>174</v>
      </c>
      <c r="C62" s="49" t="s">
        <v>137</v>
      </c>
      <c r="D62" s="49" t="s">
        <v>141</v>
      </c>
      <c r="E62" s="49" t="s">
        <v>31</v>
      </c>
      <c r="F62" s="49" t="s">
        <v>51</v>
      </c>
      <c r="G62" s="49" t="s">
        <v>49</v>
      </c>
      <c r="H62" s="49">
        <v>25.0</v>
      </c>
      <c r="I62" s="49">
        <v>800.0</v>
      </c>
      <c r="J62" s="49">
        <v>5.0</v>
      </c>
      <c r="K62" s="49" t="s">
        <v>37</v>
      </c>
      <c r="L62" s="49" t="s">
        <v>78</v>
      </c>
    </row>
    <row r="63" ht="14.25" customHeight="1">
      <c r="A63" s="49">
        <v>1061.0</v>
      </c>
      <c r="B63" s="49" t="s">
        <v>175</v>
      </c>
      <c r="C63" s="49" t="s">
        <v>167</v>
      </c>
      <c r="D63" s="49" t="s">
        <v>141</v>
      </c>
      <c r="E63" s="49" t="s">
        <v>19</v>
      </c>
      <c r="F63" s="49" t="s">
        <v>34</v>
      </c>
      <c r="G63" s="49" t="s">
        <v>33</v>
      </c>
      <c r="H63" s="49">
        <v>-1.0</v>
      </c>
      <c r="I63" s="49">
        <v>120.0</v>
      </c>
      <c r="J63" s="49"/>
      <c r="K63" s="49"/>
      <c r="L63" s="49" t="s">
        <v>78</v>
      </c>
    </row>
    <row r="64" ht="14.25" customHeight="1">
      <c r="A64" s="49">
        <v>1062.0</v>
      </c>
      <c r="B64" s="49" t="s">
        <v>176</v>
      </c>
      <c r="C64" s="49" t="s">
        <v>88</v>
      </c>
      <c r="D64" s="49" t="s">
        <v>160</v>
      </c>
      <c r="E64" s="49" t="s">
        <v>39</v>
      </c>
      <c r="F64" s="49" t="s">
        <v>34</v>
      </c>
      <c r="G64" s="49" t="s">
        <v>33</v>
      </c>
      <c r="H64" s="49">
        <v>25.0</v>
      </c>
      <c r="I64" s="49">
        <v>120.0</v>
      </c>
      <c r="J64" s="49"/>
      <c r="K64" s="49"/>
      <c r="L64" s="49" t="s">
        <v>80</v>
      </c>
    </row>
    <row r="65" ht="14.25" customHeight="1">
      <c r="A65" s="49">
        <v>1063.0</v>
      </c>
      <c r="B65" s="49" t="s">
        <v>177</v>
      </c>
      <c r="C65" s="49" t="s">
        <v>116</v>
      </c>
      <c r="D65" s="49" t="s">
        <v>93</v>
      </c>
      <c r="E65" s="49" t="s">
        <v>58</v>
      </c>
      <c r="F65" s="49" t="s">
        <v>51</v>
      </c>
      <c r="G65" s="49" t="s">
        <v>49</v>
      </c>
      <c r="H65" s="49">
        <v>0.0</v>
      </c>
      <c r="I65" s="49">
        <v>800.0</v>
      </c>
      <c r="J65" s="49">
        <v>10.0</v>
      </c>
      <c r="K65" s="49" t="s">
        <v>16</v>
      </c>
      <c r="L65" s="49"/>
    </row>
    <row r="66" ht="14.25" customHeight="1">
      <c r="A66" s="49">
        <v>1064.0</v>
      </c>
      <c r="B66" s="49" t="s">
        <v>178</v>
      </c>
      <c r="C66" s="49" t="s">
        <v>145</v>
      </c>
      <c r="D66" s="49" t="s">
        <v>93</v>
      </c>
      <c r="E66" s="49" t="s">
        <v>31</v>
      </c>
      <c r="F66" s="49" t="s">
        <v>26</v>
      </c>
      <c r="G66" s="49" t="s">
        <v>24</v>
      </c>
      <c r="H66" s="49">
        <v>25.0</v>
      </c>
      <c r="I66" s="49">
        <v>3500.0</v>
      </c>
      <c r="J66" s="49">
        <v>10.0</v>
      </c>
      <c r="K66" s="49" t="s">
        <v>38</v>
      </c>
      <c r="L66" s="49"/>
    </row>
    <row r="67" ht="14.25" customHeight="1">
      <c r="A67" s="49">
        <v>1065.0</v>
      </c>
      <c r="B67" s="49" t="s">
        <v>146</v>
      </c>
      <c r="C67" s="49" t="s">
        <v>170</v>
      </c>
      <c r="D67" s="49" t="s">
        <v>102</v>
      </c>
      <c r="E67" s="49" t="s">
        <v>48</v>
      </c>
      <c r="F67" s="49" t="s">
        <v>44</v>
      </c>
      <c r="G67" s="49" t="s">
        <v>42</v>
      </c>
      <c r="H67" s="49">
        <v>-1.0</v>
      </c>
      <c r="I67" s="49">
        <v>950.0</v>
      </c>
      <c r="J67" s="49">
        <v>15.0</v>
      </c>
      <c r="K67" s="49" t="s">
        <v>37</v>
      </c>
      <c r="L67" s="49" t="s">
        <v>78</v>
      </c>
    </row>
    <row r="68" ht="14.25" customHeight="1">
      <c r="A68" s="49">
        <v>1066.0</v>
      </c>
      <c r="B68" s="49" t="s">
        <v>179</v>
      </c>
      <c r="C68" s="49" t="s">
        <v>114</v>
      </c>
      <c r="D68" s="49" t="s">
        <v>68</v>
      </c>
      <c r="E68" s="49" t="s">
        <v>41</v>
      </c>
      <c r="F68" s="49" t="s">
        <v>26</v>
      </c>
      <c r="G68" s="49" t="s">
        <v>24</v>
      </c>
      <c r="H68" s="49">
        <v>3.0</v>
      </c>
      <c r="I68" s="49">
        <v>-3500.0</v>
      </c>
      <c r="J68" s="49">
        <v>5.0</v>
      </c>
      <c r="K68" s="49" t="s">
        <v>37</v>
      </c>
      <c r="L68" s="49" t="s">
        <v>79</v>
      </c>
    </row>
    <row r="69" ht="14.25" customHeight="1">
      <c r="A69" s="49">
        <v>1067.0</v>
      </c>
      <c r="B69" s="49" t="s">
        <v>180</v>
      </c>
      <c r="C69" s="49" t="s">
        <v>105</v>
      </c>
      <c r="D69" s="49" t="s">
        <v>93</v>
      </c>
      <c r="E69" s="49" t="s">
        <v>39</v>
      </c>
      <c r="F69" s="49" t="s">
        <v>44</v>
      </c>
      <c r="G69" s="49" t="s">
        <v>42</v>
      </c>
      <c r="H69" s="49">
        <v>-1.0</v>
      </c>
      <c r="I69" s="49">
        <v>950.0</v>
      </c>
      <c r="J69" s="49">
        <v>120.0</v>
      </c>
      <c r="K69" s="49" t="s">
        <v>37</v>
      </c>
      <c r="L69" s="49" t="s">
        <v>78</v>
      </c>
    </row>
    <row r="70" ht="14.25" customHeight="1">
      <c r="A70" s="49">
        <v>1068.0</v>
      </c>
      <c r="B70" s="49" t="s">
        <v>181</v>
      </c>
      <c r="C70" s="49" t="s">
        <v>119</v>
      </c>
      <c r="D70" s="49" t="s">
        <v>99</v>
      </c>
      <c r="E70" s="49" t="s">
        <v>58</v>
      </c>
      <c r="F70" s="49" t="s">
        <v>44</v>
      </c>
      <c r="G70" s="49" t="s">
        <v>42</v>
      </c>
      <c r="H70" s="49">
        <v>25.0</v>
      </c>
      <c r="I70" s="49">
        <v>950.0</v>
      </c>
      <c r="J70" s="49">
        <v>15.0</v>
      </c>
      <c r="K70" s="49" t="s">
        <v>16</v>
      </c>
      <c r="L70" s="49" t="s">
        <v>78</v>
      </c>
    </row>
    <row r="71" ht="14.25" customHeight="1">
      <c r="A71" s="49">
        <v>1069.0</v>
      </c>
      <c r="B71" s="49" t="s">
        <v>96</v>
      </c>
      <c r="C71" s="49" t="s">
        <v>92</v>
      </c>
      <c r="D71" s="49" t="s">
        <v>99</v>
      </c>
      <c r="E71" s="49" t="s">
        <v>60</v>
      </c>
      <c r="F71" s="49" t="s">
        <v>51</v>
      </c>
      <c r="G71" s="49" t="s">
        <v>49</v>
      </c>
      <c r="H71" s="49">
        <v>5.0</v>
      </c>
      <c r="I71" s="49">
        <v>800.0</v>
      </c>
      <c r="J71" s="49"/>
      <c r="K71" s="49"/>
      <c r="L71" s="49" t="s">
        <v>80</v>
      </c>
    </row>
    <row r="72" ht="14.25" customHeight="1">
      <c r="A72" s="49">
        <v>1070.0</v>
      </c>
      <c r="B72" s="49" t="s">
        <v>182</v>
      </c>
      <c r="C72" s="49" t="s">
        <v>105</v>
      </c>
      <c r="D72" s="49" t="s">
        <v>149</v>
      </c>
      <c r="E72" s="49" t="s">
        <v>48</v>
      </c>
      <c r="F72" s="49" t="s">
        <v>44</v>
      </c>
      <c r="G72" s="49" t="s">
        <v>42</v>
      </c>
      <c r="H72" s="49">
        <v>25.0</v>
      </c>
      <c r="I72" s="49">
        <v>950.0</v>
      </c>
      <c r="J72" s="49">
        <v>0.0</v>
      </c>
      <c r="K72" s="49"/>
      <c r="L72" s="49" t="s">
        <v>78</v>
      </c>
    </row>
    <row r="73" ht="14.25" customHeight="1">
      <c r="A73" s="49">
        <v>1071.0</v>
      </c>
      <c r="B73" s="49" t="s">
        <v>183</v>
      </c>
      <c r="C73" s="49" t="s">
        <v>119</v>
      </c>
      <c r="D73" s="49" t="s">
        <v>141</v>
      </c>
      <c r="E73" s="49" t="s">
        <v>41</v>
      </c>
      <c r="F73" s="49" t="s">
        <v>26</v>
      </c>
      <c r="G73" s="49" t="s">
        <v>24</v>
      </c>
      <c r="H73" s="49">
        <v>0.0</v>
      </c>
      <c r="I73" s="49">
        <v>3500.0</v>
      </c>
      <c r="J73" s="49"/>
      <c r="K73" s="49" t="s">
        <v>13</v>
      </c>
      <c r="L73" s="49" t="s">
        <v>80</v>
      </c>
    </row>
    <row r="74" ht="14.25" customHeight="1">
      <c r="A74" s="49">
        <v>1072.0</v>
      </c>
      <c r="B74" s="49" t="s">
        <v>184</v>
      </c>
      <c r="C74" s="49" t="s">
        <v>109</v>
      </c>
      <c r="D74" s="49" t="s">
        <v>112</v>
      </c>
      <c r="E74" s="49" t="s">
        <v>19</v>
      </c>
      <c r="F74" s="49" t="s">
        <v>34</v>
      </c>
      <c r="G74" s="49" t="s">
        <v>33</v>
      </c>
      <c r="H74" s="49">
        <v>-1.0</v>
      </c>
      <c r="I74" s="49">
        <v>120.0</v>
      </c>
      <c r="J74" s="49">
        <v>0.0</v>
      </c>
      <c r="K74" s="49" t="s">
        <v>37</v>
      </c>
      <c r="L74" s="49" t="s">
        <v>78</v>
      </c>
    </row>
    <row r="75" ht="14.25" customHeight="1">
      <c r="A75" s="49">
        <v>1073.0</v>
      </c>
      <c r="B75" s="49" t="s">
        <v>146</v>
      </c>
      <c r="C75" s="49" t="s">
        <v>130</v>
      </c>
      <c r="D75" s="49" t="s">
        <v>93</v>
      </c>
      <c r="E75" s="49" t="s">
        <v>58</v>
      </c>
      <c r="F75" s="49" t="s">
        <v>26</v>
      </c>
      <c r="G75" s="49" t="s">
        <v>24</v>
      </c>
      <c r="H75" s="49">
        <v>-1.0</v>
      </c>
      <c r="I75" s="49">
        <v>3500.0</v>
      </c>
      <c r="J75" s="49">
        <v>0.0</v>
      </c>
      <c r="K75" s="49" t="s">
        <v>37</v>
      </c>
      <c r="L75" s="49" t="s">
        <v>78</v>
      </c>
    </row>
    <row r="76" ht="14.25" customHeight="1">
      <c r="A76" s="49">
        <v>1074.0</v>
      </c>
      <c r="B76" s="49" t="s">
        <v>185</v>
      </c>
      <c r="C76" s="49"/>
      <c r="D76" s="49" t="s">
        <v>68</v>
      </c>
      <c r="E76" s="49" t="s">
        <v>41</v>
      </c>
      <c r="F76" s="49" t="s">
        <v>51</v>
      </c>
      <c r="G76" s="49" t="s">
        <v>49</v>
      </c>
      <c r="H76" s="49">
        <v>-1.0</v>
      </c>
      <c r="I76" s="49">
        <v>800.0</v>
      </c>
      <c r="J76" s="49">
        <v>10.0</v>
      </c>
      <c r="K76" s="49" t="s">
        <v>16</v>
      </c>
      <c r="L76" s="49" t="s">
        <v>78</v>
      </c>
    </row>
    <row r="77" ht="14.25" customHeight="1">
      <c r="A77" s="49">
        <v>1075.0</v>
      </c>
      <c r="B77" s="49" t="s">
        <v>186</v>
      </c>
      <c r="C77" s="49" t="s">
        <v>117</v>
      </c>
      <c r="D77" s="49" t="s">
        <v>86</v>
      </c>
      <c r="E77" s="49" t="s">
        <v>39</v>
      </c>
      <c r="F77" s="49" t="s">
        <v>34</v>
      </c>
      <c r="G77" s="49" t="s">
        <v>33</v>
      </c>
      <c r="H77" s="49">
        <v>-1.0</v>
      </c>
      <c r="I77" s="49">
        <v>120.0</v>
      </c>
      <c r="J77" s="49"/>
      <c r="K77" s="49" t="s">
        <v>53</v>
      </c>
      <c r="L77" s="49" t="s">
        <v>80</v>
      </c>
    </row>
    <row r="78" ht="14.25" customHeight="1">
      <c r="A78" s="49">
        <v>1076.0</v>
      </c>
      <c r="B78" s="49" t="s">
        <v>187</v>
      </c>
      <c r="C78" s="49"/>
      <c r="D78" s="49" t="s">
        <v>99</v>
      </c>
      <c r="E78" s="49" t="s">
        <v>60</v>
      </c>
      <c r="F78" s="49" t="s">
        <v>34</v>
      </c>
      <c r="G78" s="49" t="s">
        <v>33</v>
      </c>
      <c r="H78" s="49">
        <v>0.0</v>
      </c>
      <c r="I78" s="49">
        <v>120.0</v>
      </c>
      <c r="J78" s="49">
        <v>120.0</v>
      </c>
      <c r="K78" s="49" t="s">
        <v>16</v>
      </c>
      <c r="L78" s="49" t="s">
        <v>80</v>
      </c>
    </row>
    <row r="79" ht="14.25" customHeight="1">
      <c r="A79" s="49">
        <v>1077.0</v>
      </c>
      <c r="B79" s="49" t="s">
        <v>185</v>
      </c>
      <c r="C79" s="49" t="s">
        <v>134</v>
      </c>
      <c r="D79" s="49" t="s">
        <v>141</v>
      </c>
      <c r="E79" s="49" t="s">
        <v>60</v>
      </c>
      <c r="F79" s="49" t="s">
        <v>51</v>
      </c>
      <c r="G79" s="49" t="s">
        <v>49</v>
      </c>
      <c r="H79" s="49">
        <v>0.0</v>
      </c>
      <c r="I79" s="49">
        <v>800.0</v>
      </c>
      <c r="J79" s="49">
        <v>15.0</v>
      </c>
      <c r="K79" s="49" t="s">
        <v>13</v>
      </c>
      <c r="L79" s="49" t="s">
        <v>79</v>
      </c>
    </row>
    <row r="80" ht="14.25" customHeight="1">
      <c r="A80" s="49">
        <v>1078.0</v>
      </c>
      <c r="B80" s="49" t="s">
        <v>188</v>
      </c>
      <c r="C80" s="49" t="s">
        <v>126</v>
      </c>
      <c r="D80" s="49" t="s">
        <v>93</v>
      </c>
      <c r="E80" s="49" t="s">
        <v>31</v>
      </c>
      <c r="F80" s="49" t="s">
        <v>26</v>
      </c>
      <c r="G80" s="49" t="s">
        <v>24</v>
      </c>
      <c r="H80" s="49">
        <v>-1.0</v>
      </c>
      <c r="I80" s="49">
        <v>3500.0</v>
      </c>
      <c r="J80" s="49">
        <v>0.0</v>
      </c>
      <c r="K80" s="49" t="s">
        <v>37</v>
      </c>
      <c r="L80" s="49" t="s">
        <v>80</v>
      </c>
    </row>
    <row r="81" ht="14.25" customHeight="1">
      <c r="A81" s="49">
        <v>1079.0</v>
      </c>
      <c r="B81" s="49" t="s">
        <v>187</v>
      </c>
      <c r="C81" s="49" t="s">
        <v>173</v>
      </c>
      <c r="D81" s="49" t="s">
        <v>141</v>
      </c>
      <c r="E81" s="49" t="s">
        <v>41</v>
      </c>
      <c r="F81" s="49" t="s">
        <v>44</v>
      </c>
      <c r="G81" s="49" t="s">
        <v>42</v>
      </c>
      <c r="H81" s="49">
        <v>2.0</v>
      </c>
      <c r="I81" s="49">
        <v>950.0</v>
      </c>
      <c r="J81" s="49">
        <v>5.0</v>
      </c>
      <c r="K81" s="49" t="s">
        <v>37</v>
      </c>
      <c r="L81" s="49" t="s">
        <v>78</v>
      </c>
    </row>
    <row r="82" ht="14.25" customHeight="1"/>
    <row r="83" ht="14.25" customHeight="1"/>
    <row r="84" ht="14.25" customHeight="1"/>
    <row r="85" ht="14.25" customHeight="1"/>
    <row r="86" ht="14.25" customHeight="1">
      <c r="B86" s="21" t="s">
        <v>189</v>
      </c>
      <c r="E86" s="21" t="s">
        <v>190</v>
      </c>
    </row>
    <row r="87" ht="14.25" customHeight="1">
      <c r="B87" s="21" t="s">
        <v>191</v>
      </c>
      <c r="E87" s="21" t="s">
        <v>190</v>
      </c>
    </row>
    <row r="88" ht="14.25" customHeight="1">
      <c r="B88" s="21" t="s">
        <v>192</v>
      </c>
      <c r="E88" s="21" t="s">
        <v>190</v>
      </c>
    </row>
    <row r="89" ht="14.25" customHeight="1">
      <c r="B89" s="21" t="s">
        <v>193</v>
      </c>
      <c r="E89" s="21" t="s">
        <v>194</v>
      </c>
    </row>
    <row r="90" ht="14.25" customHeight="1">
      <c r="B90" s="21" t="s">
        <v>195</v>
      </c>
      <c r="E90" s="21" t="s">
        <v>194</v>
      </c>
    </row>
    <row r="91" ht="14.25" customHeight="1">
      <c r="B91" s="21" t="s">
        <v>196</v>
      </c>
      <c r="E91" s="21" t="s">
        <v>190</v>
      </c>
    </row>
    <row r="92" ht="14.25" customHeight="1"/>
    <row r="93" ht="14.25" customHeight="1"/>
    <row r="94" ht="14.25" customHeight="1"/>
    <row r="95" ht="14.25" customHeight="1">
      <c r="B95" s="21" t="s">
        <v>197</v>
      </c>
    </row>
    <row r="96" ht="14.25" customHeight="1">
      <c r="B96" s="21" t="s">
        <v>198</v>
      </c>
    </row>
    <row r="97" ht="14.25" customHeight="1">
      <c r="B97" s="21" t="s">
        <v>199</v>
      </c>
    </row>
    <row r="98" ht="14.25" customHeight="1">
      <c r="B98" s="21" t="s">
        <v>200</v>
      </c>
    </row>
    <row r="99" ht="14.25" customHeight="1">
      <c r="B99" s="21" t="s">
        <v>201</v>
      </c>
    </row>
    <row r="100" ht="14.25" customHeight="1"/>
    <row r="101" ht="14.25" customHeight="1"/>
    <row r="102" ht="14.25" customHeight="1">
      <c r="B102" s="21" t="s">
        <v>202</v>
      </c>
    </row>
    <row r="103" ht="14.25" customHeight="1">
      <c r="B103" s="21" t="s">
        <v>203</v>
      </c>
    </row>
    <row r="104" ht="14.25" customHeight="1">
      <c r="B104" s="21" t="s">
        <v>204</v>
      </c>
    </row>
    <row r="105" ht="14.25" customHeight="1">
      <c r="B105" s="21" t="s">
        <v>205</v>
      </c>
    </row>
    <row r="106" ht="14.25" customHeight="1">
      <c r="B106" s="21" t="s">
        <v>206</v>
      </c>
    </row>
    <row r="107" ht="14.25" customHeight="1">
      <c r="B107" s="21" t="s">
        <v>207</v>
      </c>
    </row>
    <row r="108" ht="14.25" customHeight="1"/>
    <row r="109" ht="14.25" customHeight="1"/>
    <row r="110" ht="14.25" customHeight="1"/>
    <row r="111" ht="14.25" customHeight="1"/>
    <row r="112" ht="14.25" customHeight="1">
      <c r="B112" s="21" t="s">
        <v>208</v>
      </c>
    </row>
    <row r="113" ht="14.25" customHeight="1"/>
    <row r="114" ht="14.25" customHeight="1">
      <c r="B114" s="55" t="s">
        <v>209</v>
      </c>
    </row>
    <row r="115" ht="14.25" customHeight="1"/>
    <row r="116" ht="14.25" customHeight="1">
      <c r="B116" s="21" t="s">
        <v>210</v>
      </c>
    </row>
    <row r="117" ht="14.25" customHeight="1">
      <c r="B117" s="21" t="s">
        <v>211</v>
      </c>
    </row>
    <row r="118" ht="14.25" customHeight="1">
      <c r="B118" s="21" t="s">
        <v>212</v>
      </c>
    </row>
    <row r="119" ht="14.25" customHeight="1">
      <c r="B119" s="21" t="s">
        <v>213</v>
      </c>
    </row>
    <row r="120" ht="14.25" customHeight="1"/>
    <row r="121" ht="14.25" customHeight="1">
      <c r="B121" s="55" t="s">
        <v>214</v>
      </c>
    </row>
    <row r="122" ht="14.25" customHeight="1"/>
    <row r="123" ht="14.25" customHeight="1">
      <c r="B123" s="21" t="s">
        <v>215</v>
      </c>
    </row>
    <row r="124" ht="14.25" customHeight="1"/>
    <row r="125" ht="14.25" customHeight="1">
      <c r="B125" s="55" t="s">
        <v>216</v>
      </c>
    </row>
    <row r="126" ht="14.25" customHeight="1"/>
    <row r="127" ht="14.25" customHeight="1">
      <c r="B127" s="21" t="s">
        <v>217</v>
      </c>
    </row>
    <row r="128" ht="14.25" customHeight="1">
      <c r="B128" s="56"/>
    </row>
    <row r="129" ht="14.25" customHeight="1">
      <c r="B129" s="56" t="s">
        <v>218</v>
      </c>
    </row>
    <row r="130" ht="14.25" customHeight="1">
      <c r="B130" s="56" t="s">
        <v>219</v>
      </c>
    </row>
    <row r="131" ht="14.25" customHeight="1">
      <c r="B131" s="56" t="s">
        <v>220</v>
      </c>
    </row>
    <row r="132" ht="14.25" customHeight="1"/>
    <row r="133" ht="14.25" customHeight="1">
      <c r="B133" s="21" t="s">
        <v>221</v>
      </c>
    </row>
    <row r="134" ht="14.25" customHeight="1">
      <c r="B134" s="56"/>
    </row>
    <row r="135" ht="14.25" customHeight="1">
      <c r="B135" s="56" t="s">
        <v>218</v>
      </c>
    </row>
    <row r="136" ht="14.25" customHeight="1">
      <c r="B136" s="56" t="s">
        <v>222</v>
      </c>
    </row>
    <row r="137" ht="14.25" customHeight="1"/>
    <row r="138" ht="14.25" customHeight="1">
      <c r="B138" s="55" t="s">
        <v>223</v>
      </c>
    </row>
    <row r="139" ht="14.25" customHeight="1"/>
    <row r="140" ht="14.25" customHeight="1">
      <c r="B140" s="21" t="s">
        <v>224</v>
      </c>
    </row>
    <row r="141" ht="14.25" customHeight="1"/>
    <row r="142" ht="14.25" customHeight="1"/>
    <row r="143" ht="14.25" customHeight="1">
      <c r="B143" s="21" t="s">
        <v>225</v>
      </c>
    </row>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9.43"/>
    <col customWidth="1" min="3" max="3" width="19.86"/>
    <col customWidth="1" min="4" max="4" width="25.71"/>
    <col customWidth="1" min="5" max="6" width="8.71"/>
  </cols>
  <sheetData>
    <row r="1" ht="14.25" customHeight="1">
      <c r="A1" s="21" t="s">
        <v>10</v>
      </c>
      <c r="B1" s="21" t="s">
        <v>21</v>
      </c>
      <c r="C1" s="21" t="s">
        <v>25</v>
      </c>
      <c r="D1" s="21" t="s">
        <v>227</v>
      </c>
    </row>
    <row r="2" ht="14.25" customHeight="1">
      <c r="A2" s="21" t="s">
        <v>154</v>
      </c>
      <c r="B2" s="21" t="s">
        <v>68</v>
      </c>
      <c r="C2" s="21" t="s">
        <v>54</v>
      </c>
      <c r="D2" s="21" t="s">
        <v>228</v>
      </c>
    </row>
    <row r="3" ht="14.25" customHeight="1">
      <c r="A3" s="21" t="s">
        <v>92</v>
      </c>
      <c r="B3" s="21" t="s">
        <v>68</v>
      </c>
      <c r="C3" s="21" t="s">
        <v>39</v>
      </c>
      <c r="D3" s="21" t="s">
        <v>229</v>
      </c>
    </row>
    <row r="4" ht="14.25" customHeight="1">
      <c r="A4" s="21" t="s">
        <v>134</v>
      </c>
      <c r="B4" s="21" t="s">
        <v>102</v>
      </c>
      <c r="C4" s="21" t="s">
        <v>19</v>
      </c>
      <c r="D4" s="21" t="s">
        <v>230</v>
      </c>
    </row>
    <row r="5" ht="14.25" customHeight="1">
      <c r="A5" s="21" t="s">
        <v>66</v>
      </c>
      <c r="B5" s="21" t="s">
        <v>68</v>
      </c>
      <c r="C5" s="21" t="s">
        <v>48</v>
      </c>
      <c r="D5" s="21" t="s">
        <v>231</v>
      </c>
    </row>
    <row r="6" ht="14.25" customHeight="1">
      <c r="A6" s="21" t="s">
        <v>111</v>
      </c>
      <c r="B6" s="21" t="s">
        <v>102</v>
      </c>
      <c r="C6" s="21" t="s">
        <v>31</v>
      </c>
      <c r="D6" s="21" t="s">
        <v>232</v>
      </c>
    </row>
    <row r="7" ht="14.25" customHeight="1">
      <c r="A7" s="21" t="s">
        <v>173</v>
      </c>
      <c r="B7" s="21" t="s">
        <v>68</v>
      </c>
      <c r="C7" s="21" t="s">
        <v>19</v>
      </c>
      <c r="D7" s="21" t="s">
        <v>233</v>
      </c>
    </row>
    <row r="8" ht="14.25" customHeight="1">
      <c r="A8" s="21" t="s">
        <v>137</v>
      </c>
      <c r="B8" s="21" t="s">
        <v>102</v>
      </c>
      <c r="C8" s="21" t="s">
        <v>22</v>
      </c>
      <c r="D8" s="21" t="s">
        <v>234</v>
      </c>
    </row>
    <row r="9" ht="14.25" customHeight="1">
      <c r="A9" s="21" t="s">
        <v>130</v>
      </c>
      <c r="B9" s="21" t="s">
        <v>93</v>
      </c>
      <c r="C9" s="21" t="s">
        <v>19</v>
      </c>
      <c r="D9" s="21" t="s">
        <v>235</v>
      </c>
    </row>
    <row r="10" ht="14.25" customHeight="1">
      <c r="A10" s="21" t="s">
        <v>114</v>
      </c>
      <c r="B10" s="21" t="s">
        <v>141</v>
      </c>
      <c r="C10" s="21" t="s">
        <v>31</v>
      </c>
      <c r="D10" s="21" t="s">
        <v>236</v>
      </c>
    </row>
    <row r="11" ht="14.25" customHeight="1">
      <c r="A11" s="21" t="s">
        <v>85</v>
      </c>
      <c r="B11" s="21" t="s">
        <v>102</v>
      </c>
      <c r="C11" s="21" t="s">
        <v>54</v>
      </c>
      <c r="D11" s="21" t="s">
        <v>237</v>
      </c>
    </row>
    <row r="12" ht="14.25" customHeight="1">
      <c r="A12" s="21" t="s">
        <v>98</v>
      </c>
      <c r="B12" s="21" t="s">
        <v>102</v>
      </c>
      <c r="C12" s="21" t="s">
        <v>60</v>
      </c>
      <c r="D12" s="21" t="s">
        <v>238</v>
      </c>
    </row>
    <row r="13" ht="14.25" customHeight="1">
      <c r="A13" s="21" t="s">
        <v>88</v>
      </c>
      <c r="B13" s="21" t="s">
        <v>68</v>
      </c>
      <c r="C13" s="21" t="s">
        <v>58</v>
      </c>
      <c r="D13" s="21" t="s">
        <v>239</v>
      </c>
    </row>
    <row r="14" ht="14.25" customHeight="1">
      <c r="A14" s="21" t="s">
        <v>128</v>
      </c>
      <c r="B14" s="21" t="s">
        <v>102</v>
      </c>
      <c r="C14" s="21" t="s">
        <v>54</v>
      </c>
      <c r="D14" s="21" t="s">
        <v>240</v>
      </c>
    </row>
    <row r="15" ht="14.25" customHeight="1">
      <c r="A15" s="21" t="s">
        <v>107</v>
      </c>
      <c r="B15" s="21" t="s">
        <v>141</v>
      </c>
      <c r="C15" s="21" t="s">
        <v>54</v>
      </c>
      <c r="D15" s="21" t="s">
        <v>241</v>
      </c>
    </row>
    <row r="16" ht="14.25" customHeight="1">
      <c r="A16" s="21" t="s">
        <v>126</v>
      </c>
      <c r="B16" s="21" t="s">
        <v>89</v>
      </c>
      <c r="C16" s="21" t="s">
        <v>48</v>
      </c>
      <c r="D16" s="21" t="s">
        <v>242</v>
      </c>
    </row>
    <row r="17" ht="14.25" customHeight="1">
      <c r="A17" s="21" t="s">
        <v>119</v>
      </c>
      <c r="B17" s="21" t="s">
        <v>141</v>
      </c>
      <c r="C17" s="21" t="s">
        <v>31</v>
      </c>
      <c r="D17" s="21" t="s">
        <v>243</v>
      </c>
    </row>
    <row r="18" ht="14.25" customHeight="1">
      <c r="A18" s="21" t="s">
        <v>145</v>
      </c>
      <c r="B18" s="21" t="s">
        <v>89</v>
      </c>
      <c r="C18" s="21" t="s">
        <v>39</v>
      </c>
      <c r="D18" s="21" t="s">
        <v>244</v>
      </c>
    </row>
    <row r="19" ht="14.25" customHeight="1">
      <c r="A19" s="21" t="s">
        <v>170</v>
      </c>
      <c r="B19" s="21" t="s">
        <v>141</v>
      </c>
      <c r="C19" s="21" t="s">
        <v>60</v>
      </c>
      <c r="D19" s="21" t="s">
        <v>245</v>
      </c>
    </row>
    <row r="20" ht="14.25" customHeight="1">
      <c r="A20" s="21" t="s">
        <v>167</v>
      </c>
      <c r="B20" s="21" t="s">
        <v>89</v>
      </c>
      <c r="C20" s="21" t="s">
        <v>58</v>
      </c>
      <c r="D20" s="21" t="s">
        <v>246</v>
      </c>
    </row>
    <row r="21" ht="14.25" customHeight="1">
      <c r="A21" s="21" t="s">
        <v>140</v>
      </c>
      <c r="B21" s="21" t="s">
        <v>102</v>
      </c>
      <c r="C21" s="21" t="s">
        <v>54</v>
      </c>
      <c r="D21" s="21" t="s">
        <v>247</v>
      </c>
    </row>
    <row r="22" ht="14.25" customHeight="1">
      <c r="A22" s="21" t="s">
        <v>117</v>
      </c>
      <c r="B22" s="21" t="s">
        <v>93</v>
      </c>
      <c r="C22" s="21" t="s">
        <v>31</v>
      </c>
      <c r="D22" s="21" t="s">
        <v>248</v>
      </c>
    </row>
    <row r="23" ht="14.25" customHeight="1">
      <c r="A23" s="21" t="s">
        <v>116</v>
      </c>
      <c r="B23" s="21" t="s">
        <v>93</v>
      </c>
      <c r="C23" s="21" t="s">
        <v>41</v>
      </c>
      <c r="D23" s="21" t="s">
        <v>249</v>
      </c>
    </row>
    <row r="24" ht="14.25" customHeight="1">
      <c r="A24" s="21" t="s">
        <v>109</v>
      </c>
      <c r="B24" s="21" t="s">
        <v>68</v>
      </c>
      <c r="C24" s="21" t="s">
        <v>48</v>
      </c>
      <c r="D24" s="21" t="s">
        <v>250</v>
      </c>
    </row>
    <row r="25" ht="14.25" customHeight="1">
      <c r="A25" s="21" t="s">
        <v>121</v>
      </c>
      <c r="B25" s="21" t="s">
        <v>102</v>
      </c>
      <c r="C25" s="21" t="s">
        <v>60</v>
      </c>
      <c r="D25" s="21" t="s">
        <v>251</v>
      </c>
    </row>
    <row r="26" ht="14.25" customHeight="1">
      <c r="A26" s="21" t="s">
        <v>105</v>
      </c>
      <c r="B26" s="21" t="s">
        <v>89</v>
      </c>
      <c r="C26" s="21" t="s">
        <v>60</v>
      </c>
      <c r="D26" s="21" t="s">
        <v>252</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0.71"/>
    <col customWidth="1" min="3" max="3" width="16.43"/>
    <col customWidth="1" min="4" max="6" width="8.71"/>
  </cols>
  <sheetData>
    <row r="1" ht="14.25" customHeight="1">
      <c r="A1" s="21" t="s">
        <v>253</v>
      </c>
      <c r="B1" s="21" t="s">
        <v>254</v>
      </c>
      <c r="C1" s="21" t="s">
        <v>29</v>
      </c>
      <c r="D1" s="21" t="s">
        <v>36</v>
      </c>
      <c r="E1" s="21" t="s">
        <v>59</v>
      </c>
    </row>
    <row r="2" ht="14.25" customHeight="1">
      <c r="A2" s="21" t="s">
        <v>255</v>
      </c>
      <c r="B2" s="21" t="s">
        <v>26</v>
      </c>
      <c r="C2" s="21" t="s">
        <v>24</v>
      </c>
      <c r="D2" s="21">
        <v>3500.0</v>
      </c>
      <c r="E2" s="21">
        <v>2450.0</v>
      </c>
    </row>
    <row r="3" ht="14.25" customHeight="1">
      <c r="A3" s="21" t="s">
        <v>256</v>
      </c>
      <c r="B3" s="21" t="s">
        <v>34</v>
      </c>
      <c r="C3" s="21" t="s">
        <v>33</v>
      </c>
      <c r="D3" s="21">
        <v>120.0</v>
      </c>
      <c r="E3" s="21">
        <v>84.0</v>
      </c>
    </row>
    <row r="4" ht="14.25" customHeight="1">
      <c r="A4" s="21" t="s">
        <v>257</v>
      </c>
      <c r="B4" s="21" t="s">
        <v>44</v>
      </c>
      <c r="C4" s="21" t="s">
        <v>42</v>
      </c>
      <c r="D4" s="21">
        <v>950.0</v>
      </c>
      <c r="E4" s="21">
        <v>665.0</v>
      </c>
    </row>
    <row r="5" ht="14.25" customHeight="1">
      <c r="A5" s="21" t="s">
        <v>258</v>
      </c>
      <c r="B5" s="21" t="s">
        <v>51</v>
      </c>
      <c r="C5" s="21" t="s">
        <v>49</v>
      </c>
      <c r="D5" s="21">
        <v>800.0</v>
      </c>
      <c r="E5" s="21">
        <v>560.0</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ht="14.25" customHeight="1">
      <c r="A1" s="21" t="s">
        <v>259</v>
      </c>
      <c r="B1" s="21" t="s">
        <v>50</v>
      </c>
    </row>
    <row r="2" ht="14.25" customHeight="1">
      <c r="A2" s="21" t="s">
        <v>260</v>
      </c>
      <c r="B2" s="21" t="s">
        <v>78</v>
      </c>
    </row>
    <row r="3" ht="14.25" customHeight="1">
      <c r="A3" s="21" t="s">
        <v>261</v>
      </c>
      <c r="B3" s="21" t="s">
        <v>80</v>
      </c>
    </row>
    <row r="4" ht="14.25" customHeight="1">
      <c r="A4" s="21" t="s">
        <v>262</v>
      </c>
      <c r="B4" s="21" t="s">
        <v>79</v>
      </c>
    </row>
    <row r="5" ht="14.25" customHeight="1">
      <c r="A5" s="21" t="s">
        <v>263</v>
      </c>
      <c r="B5" s="21" t="s">
        <v>264</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